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G:\マイドライブ\IT部\勤務管理\"/>
    </mc:Choice>
  </mc:AlternateContent>
  <xr:revisionPtr revIDLastSave="0" documentId="13_ncr:1_{DF506609-0CB1-4806-B89F-D74A5602F3A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orm" sheetId="3" r:id="rId1"/>
    <sheet name="4" sheetId="7" r:id="rId2"/>
    <sheet name="5" sheetId="8" r:id="rId3"/>
    <sheet name="6" sheetId="9" r:id="rId4"/>
    <sheet name="7" sheetId="10" r:id="rId5"/>
    <sheet name="8" sheetId="11" r:id="rId6"/>
    <sheet name="9" sheetId="12" r:id="rId7"/>
    <sheet name="10" sheetId="13" r:id="rId8"/>
    <sheet name="11" sheetId="14" r:id="rId9"/>
    <sheet name="12" sheetId="15" r:id="rId10"/>
    <sheet name="1" sheetId="16" r:id="rId11"/>
    <sheet name="2" sheetId="17" r:id="rId12"/>
    <sheet name="3" sheetId="18" r:id="rId13"/>
    <sheet name="ID" sheetId="5" state="veryHidden" r:id="rId14"/>
    <sheet name="config" sheetId="4" state="very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" l="1"/>
  <c r="D4" i="4" s="1"/>
  <c r="AL13" i="4" s="1"/>
  <c r="AF1" i="17" s="1"/>
  <c r="C208" i="18"/>
  <c r="B208" i="18"/>
  <c r="C207" i="18"/>
  <c r="B207" i="18"/>
  <c r="C206" i="18"/>
  <c r="B206" i="18"/>
  <c r="C205" i="18"/>
  <c r="B205" i="18"/>
  <c r="C204" i="18"/>
  <c r="B204" i="18"/>
  <c r="C203" i="18"/>
  <c r="B203" i="18"/>
  <c r="C202" i="18"/>
  <c r="B202" i="18"/>
  <c r="C201" i="18"/>
  <c r="B201" i="18"/>
  <c r="C200" i="18"/>
  <c r="B200" i="18"/>
  <c r="C199" i="18"/>
  <c r="B199" i="18"/>
  <c r="C198" i="18"/>
  <c r="B198" i="18"/>
  <c r="C197" i="18"/>
  <c r="B197" i="18"/>
  <c r="C196" i="18"/>
  <c r="B196" i="18"/>
  <c r="C195" i="18"/>
  <c r="B195" i="18"/>
  <c r="C194" i="18"/>
  <c r="B194" i="18"/>
  <c r="C193" i="18"/>
  <c r="B193" i="18"/>
  <c r="C192" i="18"/>
  <c r="B192" i="18"/>
  <c r="C191" i="18"/>
  <c r="B191" i="18"/>
  <c r="C190" i="18"/>
  <c r="B190" i="18"/>
  <c r="C189" i="18"/>
  <c r="B189" i="18"/>
  <c r="C188" i="18"/>
  <c r="B188" i="18"/>
  <c r="C187" i="18"/>
  <c r="B187" i="18"/>
  <c r="C186" i="18"/>
  <c r="B186" i="18"/>
  <c r="C185" i="18"/>
  <c r="B185" i="18"/>
  <c r="C184" i="18"/>
  <c r="B184" i="18"/>
  <c r="C183" i="18"/>
  <c r="B183" i="18"/>
  <c r="C182" i="18"/>
  <c r="B182" i="18"/>
  <c r="C181" i="18"/>
  <c r="B181" i="18"/>
  <c r="C180" i="18"/>
  <c r="B180" i="18"/>
  <c r="C179" i="18"/>
  <c r="B179" i="18"/>
  <c r="C178" i="18"/>
  <c r="B178" i="18"/>
  <c r="C177" i="18"/>
  <c r="B177" i="18"/>
  <c r="C176" i="18"/>
  <c r="B176" i="18"/>
  <c r="C175" i="18"/>
  <c r="B175" i="18"/>
  <c r="C174" i="18"/>
  <c r="B174" i="18"/>
  <c r="C173" i="18"/>
  <c r="B173" i="18"/>
  <c r="C172" i="18"/>
  <c r="B172" i="18"/>
  <c r="C171" i="18"/>
  <c r="B171" i="18"/>
  <c r="C170" i="18"/>
  <c r="B170" i="18"/>
  <c r="C169" i="18"/>
  <c r="B169" i="18"/>
  <c r="C168" i="18"/>
  <c r="B168" i="18"/>
  <c r="C167" i="18"/>
  <c r="B167" i="18"/>
  <c r="C166" i="18"/>
  <c r="B166" i="18"/>
  <c r="C165" i="18"/>
  <c r="B165" i="18"/>
  <c r="C164" i="18"/>
  <c r="B164" i="18"/>
  <c r="C163" i="18"/>
  <c r="B163" i="18"/>
  <c r="C162" i="18"/>
  <c r="B162" i="18"/>
  <c r="C161" i="18"/>
  <c r="B161" i="18"/>
  <c r="C160" i="18"/>
  <c r="B160" i="18"/>
  <c r="C159" i="18"/>
  <c r="B159" i="18"/>
  <c r="C158" i="18"/>
  <c r="B158" i="18"/>
  <c r="C157" i="18"/>
  <c r="B157" i="18"/>
  <c r="C156" i="18"/>
  <c r="B156" i="18"/>
  <c r="C155" i="18"/>
  <c r="B155" i="18"/>
  <c r="C154" i="18"/>
  <c r="B154" i="18"/>
  <c r="C153" i="18"/>
  <c r="B153" i="18"/>
  <c r="C152" i="18"/>
  <c r="B152" i="18"/>
  <c r="C151" i="18"/>
  <c r="B151" i="18"/>
  <c r="C150" i="18"/>
  <c r="B150" i="18"/>
  <c r="C149" i="18"/>
  <c r="B149" i="18"/>
  <c r="C148" i="18"/>
  <c r="B148" i="18"/>
  <c r="C147" i="18"/>
  <c r="B147" i="18"/>
  <c r="C146" i="18"/>
  <c r="B146" i="18"/>
  <c r="C145" i="18"/>
  <c r="B145" i="18"/>
  <c r="C144" i="18"/>
  <c r="B144" i="18"/>
  <c r="C143" i="18"/>
  <c r="B143" i="18"/>
  <c r="C142" i="18"/>
  <c r="B142" i="18"/>
  <c r="C141" i="18"/>
  <c r="B141" i="18"/>
  <c r="C140" i="18"/>
  <c r="B140" i="18"/>
  <c r="C139" i="18"/>
  <c r="B139" i="18"/>
  <c r="C138" i="18"/>
  <c r="B138" i="18"/>
  <c r="C137" i="18"/>
  <c r="B137" i="18"/>
  <c r="C136" i="18"/>
  <c r="B136" i="18"/>
  <c r="C135" i="18"/>
  <c r="B135" i="18"/>
  <c r="C134" i="18"/>
  <c r="B134" i="18"/>
  <c r="C133" i="18"/>
  <c r="B133" i="18"/>
  <c r="C132" i="18"/>
  <c r="B132" i="18"/>
  <c r="C131" i="18"/>
  <c r="B131" i="18"/>
  <c r="C130" i="18"/>
  <c r="B130" i="18"/>
  <c r="C129" i="18"/>
  <c r="B129" i="18"/>
  <c r="C128" i="18"/>
  <c r="B128" i="18"/>
  <c r="C127" i="18"/>
  <c r="B127" i="18"/>
  <c r="C126" i="18"/>
  <c r="B126" i="18"/>
  <c r="C125" i="18"/>
  <c r="B125" i="18"/>
  <c r="C124" i="18"/>
  <c r="B124" i="18"/>
  <c r="C123" i="18"/>
  <c r="B123" i="18"/>
  <c r="C122" i="18"/>
  <c r="B122" i="18"/>
  <c r="C121" i="18"/>
  <c r="B121" i="18"/>
  <c r="C120" i="18"/>
  <c r="B120" i="18"/>
  <c r="C119" i="18"/>
  <c r="B119" i="18"/>
  <c r="C118" i="18"/>
  <c r="B118" i="18"/>
  <c r="C117" i="18"/>
  <c r="B117" i="18"/>
  <c r="C116" i="18"/>
  <c r="B116" i="18"/>
  <c r="C115" i="18"/>
  <c r="B115" i="18"/>
  <c r="C114" i="18"/>
  <c r="B114" i="18"/>
  <c r="C113" i="18"/>
  <c r="B113" i="18"/>
  <c r="C112" i="18"/>
  <c r="B112" i="18"/>
  <c r="C111" i="18"/>
  <c r="B111" i="18"/>
  <c r="C110" i="18"/>
  <c r="B110" i="18"/>
  <c r="C109" i="18"/>
  <c r="B109" i="18"/>
  <c r="C108" i="18"/>
  <c r="B108" i="18"/>
  <c r="C107" i="18"/>
  <c r="B107" i="18"/>
  <c r="C106" i="18"/>
  <c r="B106" i="18"/>
  <c r="C105" i="18"/>
  <c r="B105" i="18"/>
  <c r="C104" i="18"/>
  <c r="B104" i="18"/>
  <c r="C103" i="18"/>
  <c r="B103" i="18"/>
  <c r="C102" i="18"/>
  <c r="B102" i="18"/>
  <c r="C101" i="18"/>
  <c r="B101" i="18"/>
  <c r="C100" i="18"/>
  <c r="B100" i="18"/>
  <c r="C99" i="18"/>
  <c r="B99" i="18"/>
  <c r="C98" i="18"/>
  <c r="B98" i="18"/>
  <c r="C97" i="18"/>
  <c r="B97" i="18"/>
  <c r="C96" i="18"/>
  <c r="B96" i="18"/>
  <c r="C95" i="18"/>
  <c r="B95" i="18"/>
  <c r="C94" i="18"/>
  <c r="B94" i="18"/>
  <c r="C93" i="18"/>
  <c r="B93" i="18"/>
  <c r="C92" i="18"/>
  <c r="B92" i="18"/>
  <c r="C91" i="18"/>
  <c r="B91" i="18"/>
  <c r="C90" i="18"/>
  <c r="B90" i="18"/>
  <c r="C89" i="18"/>
  <c r="B89" i="18"/>
  <c r="C88" i="18"/>
  <c r="B88" i="18"/>
  <c r="C87" i="18"/>
  <c r="B87" i="18"/>
  <c r="C86" i="18"/>
  <c r="B86" i="18"/>
  <c r="C85" i="18"/>
  <c r="B85" i="18"/>
  <c r="C84" i="18"/>
  <c r="B84" i="18"/>
  <c r="C83" i="18"/>
  <c r="B83" i="18"/>
  <c r="C82" i="18"/>
  <c r="B82" i="18"/>
  <c r="C81" i="18"/>
  <c r="B81" i="18"/>
  <c r="C80" i="18"/>
  <c r="B80" i="18"/>
  <c r="C79" i="18"/>
  <c r="B79" i="18"/>
  <c r="C78" i="18"/>
  <c r="B78" i="18"/>
  <c r="C77" i="18"/>
  <c r="B77" i="18"/>
  <c r="C76" i="18"/>
  <c r="B76" i="18"/>
  <c r="C75" i="18"/>
  <c r="B75" i="18"/>
  <c r="C74" i="18"/>
  <c r="B74" i="18"/>
  <c r="C73" i="18"/>
  <c r="B73" i="18"/>
  <c r="C72" i="18"/>
  <c r="B72" i="18"/>
  <c r="C71" i="18"/>
  <c r="B71" i="18"/>
  <c r="C70" i="18"/>
  <c r="B70" i="18"/>
  <c r="C69" i="18"/>
  <c r="B69" i="18"/>
  <c r="C68" i="18"/>
  <c r="B68" i="18"/>
  <c r="C67" i="18"/>
  <c r="B67" i="18"/>
  <c r="C66" i="18"/>
  <c r="B66" i="18"/>
  <c r="C65" i="18"/>
  <c r="B65" i="18"/>
  <c r="C64" i="18"/>
  <c r="B64" i="18"/>
  <c r="C63" i="18"/>
  <c r="B63" i="18"/>
  <c r="C62" i="18"/>
  <c r="B62" i="18"/>
  <c r="C61" i="18"/>
  <c r="B61" i="18"/>
  <c r="C60" i="18"/>
  <c r="B60" i="18"/>
  <c r="C59" i="18"/>
  <c r="B59" i="18"/>
  <c r="C58" i="18"/>
  <c r="B58" i="18"/>
  <c r="C57" i="18"/>
  <c r="B57" i="18"/>
  <c r="C56" i="18"/>
  <c r="B56" i="18"/>
  <c r="C55" i="18"/>
  <c r="B55" i="18"/>
  <c r="C54" i="18"/>
  <c r="B54" i="18"/>
  <c r="C53" i="18"/>
  <c r="B53" i="18"/>
  <c r="C52" i="18"/>
  <c r="B52" i="18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B45" i="18"/>
  <c r="C44" i="18"/>
  <c r="B44" i="18"/>
  <c r="C43" i="18"/>
  <c r="B43" i="18"/>
  <c r="C42" i="18"/>
  <c r="B42" i="18"/>
  <c r="C41" i="18"/>
  <c r="B41" i="18"/>
  <c r="C40" i="18"/>
  <c r="B40" i="18"/>
  <c r="C39" i="18"/>
  <c r="B39" i="18"/>
  <c r="C38" i="18"/>
  <c r="B38" i="18"/>
  <c r="C37" i="18"/>
  <c r="B37" i="18"/>
  <c r="C36" i="18"/>
  <c r="B36" i="18"/>
  <c r="C35" i="18"/>
  <c r="B35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5" i="18"/>
  <c r="B5" i="18"/>
  <c r="C4" i="18"/>
  <c r="B4" i="18"/>
  <c r="A2" i="18"/>
  <c r="AF1" i="18" s="1"/>
  <c r="AF2" i="18" s="1"/>
  <c r="AH1" i="17"/>
  <c r="AG1" i="17"/>
  <c r="C208" i="17"/>
  <c r="B208" i="17"/>
  <c r="C207" i="17"/>
  <c r="B207" i="17"/>
  <c r="C206" i="17"/>
  <c r="B206" i="17"/>
  <c r="C205" i="17"/>
  <c r="B205" i="17"/>
  <c r="C204" i="17"/>
  <c r="B204" i="17"/>
  <c r="C203" i="17"/>
  <c r="B203" i="17"/>
  <c r="C202" i="17"/>
  <c r="B202" i="17"/>
  <c r="C201" i="17"/>
  <c r="B201" i="17"/>
  <c r="C200" i="17"/>
  <c r="B200" i="17"/>
  <c r="C199" i="17"/>
  <c r="B199" i="17"/>
  <c r="C198" i="17"/>
  <c r="B198" i="17"/>
  <c r="C197" i="17"/>
  <c r="B197" i="17"/>
  <c r="C196" i="17"/>
  <c r="B196" i="17"/>
  <c r="C195" i="17"/>
  <c r="B195" i="17"/>
  <c r="C194" i="17"/>
  <c r="B194" i="17"/>
  <c r="C193" i="17"/>
  <c r="B193" i="17"/>
  <c r="C192" i="17"/>
  <c r="B192" i="17"/>
  <c r="C191" i="17"/>
  <c r="B191" i="17"/>
  <c r="C190" i="17"/>
  <c r="B190" i="17"/>
  <c r="C189" i="17"/>
  <c r="B189" i="17"/>
  <c r="C188" i="17"/>
  <c r="B188" i="17"/>
  <c r="C187" i="17"/>
  <c r="B187" i="17"/>
  <c r="C186" i="17"/>
  <c r="B186" i="17"/>
  <c r="C185" i="17"/>
  <c r="B185" i="17"/>
  <c r="C184" i="17"/>
  <c r="B184" i="17"/>
  <c r="C183" i="17"/>
  <c r="B183" i="17"/>
  <c r="C182" i="17"/>
  <c r="B182" i="17"/>
  <c r="C181" i="17"/>
  <c r="B181" i="17"/>
  <c r="C180" i="17"/>
  <c r="B180" i="17"/>
  <c r="C179" i="17"/>
  <c r="B179" i="17"/>
  <c r="C178" i="17"/>
  <c r="B178" i="17"/>
  <c r="C177" i="17"/>
  <c r="B177" i="17"/>
  <c r="C176" i="17"/>
  <c r="B176" i="17"/>
  <c r="C175" i="17"/>
  <c r="B175" i="17"/>
  <c r="C174" i="17"/>
  <c r="B174" i="17"/>
  <c r="C173" i="17"/>
  <c r="B173" i="17"/>
  <c r="C172" i="17"/>
  <c r="B172" i="17"/>
  <c r="C171" i="17"/>
  <c r="B171" i="17"/>
  <c r="C170" i="17"/>
  <c r="B170" i="17"/>
  <c r="C169" i="17"/>
  <c r="B169" i="17"/>
  <c r="C168" i="17"/>
  <c r="B168" i="17"/>
  <c r="C167" i="17"/>
  <c r="B167" i="17"/>
  <c r="C166" i="17"/>
  <c r="B166" i="17"/>
  <c r="C165" i="17"/>
  <c r="B165" i="17"/>
  <c r="C164" i="17"/>
  <c r="B164" i="17"/>
  <c r="C163" i="17"/>
  <c r="B163" i="17"/>
  <c r="C162" i="17"/>
  <c r="B162" i="17"/>
  <c r="C161" i="17"/>
  <c r="B161" i="17"/>
  <c r="C160" i="17"/>
  <c r="B160" i="17"/>
  <c r="C159" i="17"/>
  <c r="B159" i="17"/>
  <c r="C158" i="17"/>
  <c r="B158" i="17"/>
  <c r="C157" i="17"/>
  <c r="B157" i="17"/>
  <c r="C156" i="17"/>
  <c r="B156" i="17"/>
  <c r="C155" i="17"/>
  <c r="B155" i="17"/>
  <c r="C154" i="17"/>
  <c r="B154" i="17"/>
  <c r="C153" i="17"/>
  <c r="B153" i="17"/>
  <c r="C152" i="17"/>
  <c r="B152" i="17"/>
  <c r="C151" i="17"/>
  <c r="B151" i="17"/>
  <c r="C150" i="17"/>
  <c r="B150" i="17"/>
  <c r="C149" i="17"/>
  <c r="B149" i="17"/>
  <c r="C148" i="17"/>
  <c r="B148" i="17"/>
  <c r="C147" i="17"/>
  <c r="B147" i="17"/>
  <c r="C146" i="17"/>
  <c r="B146" i="17"/>
  <c r="C145" i="17"/>
  <c r="B145" i="17"/>
  <c r="C144" i="17"/>
  <c r="B144" i="17"/>
  <c r="C143" i="17"/>
  <c r="B143" i="17"/>
  <c r="C142" i="17"/>
  <c r="B142" i="17"/>
  <c r="C141" i="17"/>
  <c r="B141" i="17"/>
  <c r="C140" i="17"/>
  <c r="B140" i="17"/>
  <c r="C139" i="17"/>
  <c r="B139" i="17"/>
  <c r="C138" i="17"/>
  <c r="B138" i="17"/>
  <c r="C137" i="17"/>
  <c r="B137" i="17"/>
  <c r="C136" i="17"/>
  <c r="B136" i="17"/>
  <c r="C135" i="17"/>
  <c r="B135" i="17"/>
  <c r="C134" i="17"/>
  <c r="B134" i="17"/>
  <c r="C133" i="17"/>
  <c r="B133" i="17"/>
  <c r="C132" i="17"/>
  <c r="B132" i="17"/>
  <c r="C131" i="17"/>
  <c r="B131" i="17"/>
  <c r="C130" i="17"/>
  <c r="B130" i="17"/>
  <c r="C129" i="17"/>
  <c r="B129" i="17"/>
  <c r="C128" i="17"/>
  <c r="B128" i="17"/>
  <c r="C127" i="17"/>
  <c r="B127" i="17"/>
  <c r="C126" i="17"/>
  <c r="B126" i="17"/>
  <c r="C125" i="17"/>
  <c r="B125" i="17"/>
  <c r="C124" i="17"/>
  <c r="B124" i="17"/>
  <c r="C123" i="17"/>
  <c r="B123" i="17"/>
  <c r="C122" i="17"/>
  <c r="B122" i="17"/>
  <c r="C121" i="17"/>
  <c r="B121" i="17"/>
  <c r="C120" i="17"/>
  <c r="B120" i="17"/>
  <c r="C119" i="17"/>
  <c r="B119" i="17"/>
  <c r="C118" i="17"/>
  <c r="B118" i="17"/>
  <c r="C117" i="17"/>
  <c r="B117" i="17"/>
  <c r="C116" i="17"/>
  <c r="B116" i="17"/>
  <c r="C115" i="17"/>
  <c r="B115" i="17"/>
  <c r="C114" i="17"/>
  <c r="B114" i="17"/>
  <c r="C113" i="17"/>
  <c r="B113" i="17"/>
  <c r="C112" i="17"/>
  <c r="B112" i="17"/>
  <c r="C111" i="17"/>
  <c r="B111" i="17"/>
  <c r="C110" i="17"/>
  <c r="B110" i="17"/>
  <c r="C109" i="17"/>
  <c r="B109" i="17"/>
  <c r="C108" i="17"/>
  <c r="B108" i="17"/>
  <c r="C107" i="17"/>
  <c r="B107" i="17"/>
  <c r="C106" i="17"/>
  <c r="B106" i="17"/>
  <c r="C105" i="17"/>
  <c r="B105" i="17"/>
  <c r="C104" i="17"/>
  <c r="B104" i="17"/>
  <c r="C103" i="17"/>
  <c r="B103" i="17"/>
  <c r="C102" i="17"/>
  <c r="B102" i="17"/>
  <c r="C101" i="17"/>
  <c r="B101" i="17"/>
  <c r="C100" i="17"/>
  <c r="B100" i="17"/>
  <c r="C99" i="17"/>
  <c r="B99" i="17"/>
  <c r="C98" i="17"/>
  <c r="B98" i="17"/>
  <c r="C97" i="17"/>
  <c r="B97" i="17"/>
  <c r="C96" i="17"/>
  <c r="B96" i="17"/>
  <c r="C95" i="17"/>
  <c r="B95" i="17"/>
  <c r="C94" i="17"/>
  <c r="B94" i="17"/>
  <c r="C93" i="17"/>
  <c r="B93" i="17"/>
  <c r="C92" i="17"/>
  <c r="B92" i="17"/>
  <c r="C91" i="17"/>
  <c r="B91" i="17"/>
  <c r="C90" i="17"/>
  <c r="B90" i="17"/>
  <c r="C89" i="17"/>
  <c r="B89" i="17"/>
  <c r="C88" i="17"/>
  <c r="B88" i="17"/>
  <c r="C87" i="17"/>
  <c r="B87" i="17"/>
  <c r="C86" i="17"/>
  <c r="B86" i="17"/>
  <c r="C85" i="17"/>
  <c r="B85" i="17"/>
  <c r="C84" i="17"/>
  <c r="B84" i="17"/>
  <c r="C83" i="17"/>
  <c r="B83" i="17"/>
  <c r="C82" i="17"/>
  <c r="B82" i="17"/>
  <c r="C81" i="17"/>
  <c r="B81" i="17"/>
  <c r="C80" i="17"/>
  <c r="B80" i="17"/>
  <c r="C79" i="17"/>
  <c r="B79" i="17"/>
  <c r="C78" i="17"/>
  <c r="B78" i="17"/>
  <c r="C77" i="17"/>
  <c r="B77" i="17"/>
  <c r="C76" i="17"/>
  <c r="B76" i="17"/>
  <c r="C75" i="17"/>
  <c r="B75" i="17"/>
  <c r="C74" i="17"/>
  <c r="B74" i="17"/>
  <c r="C73" i="17"/>
  <c r="B73" i="17"/>
  <c r="C72" i="17"/>
  <c r="B72" i="17"/>
  <c r="C71" i="17"/>
  <c r="B71" i="17"/>
  <c r="C70" i="17"/>
  <c r="B70" i="17"/>
  <c r="C69" i="17"/>
  <c r="B69" i="17"/>
  <c r="C68" i="17"/>
  <c r="B68" i="17"/>
  <c r="C67" i="17"/>
  <c r="B67" i="17"/>
  <c r="C66" i="17"/>
  <c r="B66" i="17"/>
  <c r="C65" i="17"/>
  <c r="B65" i="17"/>
  <c r="C64" i="17"/>
  <c r="B64" i="17"/>
  <c r="C63" i="17"/>
  <c r="B63" i="17"/>
  <c r="C62" i="17"/>
  <c r="B62" i="17"/>
  <c r="C61" i="17"/>
  <c r="B61" i="17"/>
  <c r="C60" i="17"/>
  <c r="B60" i="17"/>
  <c r="C59" i="17"/>
  <c r="B59" i="17"/>
  <c r="C58" i="17"/>
  <c r="B58" i="17"/>
  <c r="C57" i="17"/>
  <c r="B57" i="17"/>
  <c r="C56" i="17"/>
  <c r="B56" i="17"/>
  <c r="C55" i="17"/>
  <c r="B55" i="17"/>
  <c r="C54" i="17"/>
  <c r="B54" i="17"/>
  <c r="C53" i="17"/>
  <c r="B53" i="17"/>
  <c r="C52" i="17"/>
  <c r="B52" i="17"/>
  <c r="C51" i="17"/>
  <c r="B51" i="17"/>
  <c r="C50" i="17"/>
  <c r="B50" i="17"/>
  <c r="C49" i="17"/>
  <c r="B49" i="17"/>
  <c r="C48" i="17"/>
  <c r="B48" i="17"/>
  <c r="C47" i="17"/>
  <c r="B47" i="17"/>
  <c r="C46" i="17"/>
  <c r="B46" i="17"/>
  <c r="C45" i="17"/>
  <c r="B45" i="17"/>
  <c r="C44" i="17"/>
  <c r="B44" i="17"/>
  <c r="C43" i="17"/>
  <c r="B43" i="17"/>
  <c r="C42" i="17"/>
  <c r="B42" i="17"/>
  <c r="C41" i="17"/>
  <c r="B41" i="17"/>
  <c r="C40" i="17"/>
  <c r="B40" i="17"/>
  <c r="C39" i="17"/>
  <c r="B39" i="17"/>
  <c r="C38" i="17"/>
  <c r="B38" i="17"/>
  <c r="C37" i="17"/>
  <c r="B37" i="17"/>
  <c r="C36" i="17"/>
  <c r="B36" i="17"/>
  <c r="C35" i="17"/>
  <c r="B35" i="17"/>
  <c r="C34" i="17"/>
  <c r="B34" i="17"/>
  <c r="C33" i="17"/>
  <c r="B33" i="17"/>
  <c r="C32" i="17"/>
  <c r="B32" i="17"/>
  <c r="C31" i="17"/>
  <c r="B31" i="17"/>
  <c r="C30" i="17"/>
  <c r="B30" i="17"/>
  <c r="C29" i="17"/>
  <c r="B29" i="17"/>
  <c r="C28" i="17"/>
  <c r="B28" i="17"/>
  <c r="C27" i="17"/>
  <c r="B27" i="17"/>
  <c r="C26" i="17"/>
  <c r="B26" i="17"/>
  <c r="C25" i="17"/>
  <c r="B25" i="17"/>
  <c r="C24" i="17"/>
  <c r="B24" i="17"/>
  <c r="C23" i="17"/>
  <c r="B23" i="17"/>
  <c r="C22" i="17"/>
  <c r="B22" i="17"/>
  <c r="C21" i="17"/>
  <c r="B21" i="17"/>
  <c r="C20" i="17"/>
  <c r="B20" i="17"/>
  <c r="C19" i="17"/>
  <c r="B19" i="17"/>
  <c r="C18" i="17"/>
  <c r="B18" i="17"/>
  <c r="C17" i="17"/>
  <c r="B17" i="17"/>
  <c r="C16" i="17"/>
  <c r="B16" i="17"/>
  <c r="C15" i="17"/>
  <c r="B15" i="17"/>
  <c r="C14" i="17"/>
  <c r="B14" i="17"/>
  <c r="C13" i="17"/>
  <c r="B13" i="17"/>
  <c r="C12" i="17"/>
  <c r="B12" i="17"/>
  <c r="C11" i="17"/>
  <c r="B11" i="17"/>
  <c r="C10" i="17"/>
  <c r="B10" i="17"/>
  <c r="C9" i="17"/>
  <c r="B9" i="17"/>
  <c r="C8" i="17"/>
  <c r="B8" i="17"/>
  <c r="C7" i="17"/>
  <c r="B7" i="17"/>
  <c r="C6" i="17"/>
  <c r="B6" i="17"/>
  <c r="C5" i="17"/>
  <c r="B5" i="17"/>
  <c r="C4" i="17"/>
  <c r="B4" i="17"/>
  <c r="A2" i="17"/>
  <c r="AH2" i="17" s="1"/>
  <c r="C208" i="16"/>
  <c r="B208" i="16"/>
  <c r="C207" i="16"/>
  <c r="B207" i="16"/>
  <c r="C206" i="16"/>
  <c r="B206" i="16"/>
  <c r="C205" i="16"/>
  <c r="B205" i="16"/>
  <c r="C204" i="16"/>
  <c r="B204" i="16"/>
  <c r="C203" i="16"/>
  <c r="B203" i="16"/>
  <c r="C202" i="16"/>
  <c r="B202" i="16"/>
  <c r="C201" i="16"/>
  <c r="B201" i="16"/>
  <c r="C200" i="16"/>
  <c r="B200" i="16"/>
  <c r="C199" i="16"/>
  <c r="B199" i="16"/>
  <c r="C198" i="16"/>
  <c r="B198" i="16"/>
  <c r="C197" i="16"/>
  <c r="B197" i="16"/>
  <c r="C196" i="16"/>
  <c r="B196" i="16"/>
  <c r="C195" i="16"/>
  <c r="B195" i="16"/>
  <c r="C194" i="16"/>
  <c r="B194" i="16"/>
  <c r="C193" i="16"/>
  <c r="B193" i="16"/>
  <c r="C192" i="16"/>
  <c r="B192" i="16"/>
  <c r="C191" i="16"/>
  <c r="B191" i="16"/>
  <c r="C190" i="16"/>
  <c r="B190" i="16"/>
  <c r="C189" i="16"/>
  <c r="B189" i="16"/>
  <c r="C188" i="16"/>
  <c r="B188" i="16"/>
  <c r="C187" i="16"/>
  <c r="B187" i="16"/>
  <c r="C186" i="16"/>
  <c r="B186" i="16"/>
  <c r="C185" i="16"/>
  <c r="B185" i="16"/>
  <c r="C184" i="16"/>
  <c r="B184" i="16"/>
  <c r="C183" i="16"/>
  <c r="B183" i="16"/>
  <c r="C182" i="16"/>
  <c r="B182" i="16"/>
  <c r="C181" i="16"/>
  <c r="B181" i="16"/>
  <c r="C180" i="16"/>
  <c r="B180" i="16"/>
  <c r="C179" i="16"/>
  <c r="B179" i="16"/>
  <c r="C178" i="16"/>
  <c r="B178" i="16"/>
  <c r="C177" i="16"/>
  <c r="B177" i="16"/>
  <c r="C176" i="16"/>
  <c r="B176" i="16"/>
  <c r="C175" i="16"/>
  <c r="B175" i="16"/>
  <c r="C174" i="16"/>
  <c r="B174" i="16"/>
  <c r="C173" i="16"/>
  <c r="B173" i="16"/>
  <c r="C172" i="16"/>
  <c r="B172" i="16"/>
  <c r="C171" i="16"/>
  <c r="B171" i="16"/>
  <c r="C170" i="16"/>
  <c r="B170" i="16"/>
  <c r="C169" i="16"/>
  <c r="B169" i="16"/>
  <c r="C168" i="16"/>
  <c r="B168" i="16"/>
  <c r="C167" i="16"/>
  <c r="B167" i="16"/>
  <c r="C166" i="16"/>
  <c r="B166" i="16"/>
  <c r="C165" i="16"/>
  <c r="B165" i="16"/>
  <c r="C164" i="16"/>
  <c r="B164" i="16"/>
  <c r="C163" i="16"/>
  <c r="B163" i="16"/>
  <c r="C162" i="16"/>
  <c r="B162" i="16"/>
  <c r="C161" i="16"/>
  <c r="B161" i="16"/>
  <c r="C160" i="16"/>
  <c r="B160" i="16"/>
  <c r="C159" i="16"/>
  <c r="B159" i="16"/>
  <c r="C158" i="16"/>
  <c r="B158" i="16"/>
  <c r="C157" i="16"/>
  <c r="B157" i="16"/>
  <c r="C156" i="16"/>
  <c r="B156" i="16"/>
  <c r="C155" i="16"/>
  <c r="B155" i="16"/>
  <c r="C154" i="16"/>
  <c r="B154" i="16"/>
  <c r="C153" i="16"/>
  <c r="B153" i="16"/>
  <c r="C152" i="16"/>
  <c r="B152" i="16"/>
  <c r="C151" i="16"/>
  <c r="B151" i="16"/>
  <c r="C150" i="16"/>
  <c r="B150" i="16"/>
  <c r="C149" i="16"/>
  <c r="B149" i="16"/>
  <c r="C148" i="16"/>
  <c r="B148" i="16"/>
  <c r="C147" i="16"/>
  <c r="B147" i="16"/>
  <c r="C146" i="16"/>
  <c r="B146" i="16"/>
  <c r="C145" i="16"/>
  <c r="B145" i="16"/>
  <c r="C144" i="16"/>
  <c r="B144" i="16"/>
  <c r="C143" i="16"/>
  <c r="B143" i="16"/>
  <c r="C142" i="16"/>
  <c r="B142" i="16"/>
  <c r="C141" i="16"/>
  <c r="B141" i="16"/>
  <c r="C140" i="16"/>
  <c r="B140" i="16"/>
  <c r="C139" i="16"/>
  <c r="B139" i="16"/>
  <c r="C138" i="16"/>
  <c r="B138" i="16"/>
  <c r="C137" i="16"/>
  <c r="B137" i="16"/>
  <c r="C136" i="16"/>
  <c r="B136" i="16"/>
  <c r="C135" i="16"/>
  <c r="B135" i="16"/>
  <c r="C134" i="16"/>
  <c r="B134" i="16"/>
  <c r="C133" i="16"/>
  <c r="B133" i="16"/>
  <c r="C132" i="16"/>
  <c r="B132" i="16"/>
  <c r="C131" i="16"/>
  <c r="B131" i="16"/>
  <c r="C130" i="16"/>
  <c r="B130" i="16"/>
  <c r="C129" i="16"/>
  <c r="B129" i="16"/>
  <c r="C128" i="16"/>
  <c r="B128" i="16"/>
  <c r="C127" i="16"/>
  <c r="B127" i="16"/>
  <c r="C126" i="16"/>
  <c r="B126" i="16"/>
  <c r="C125" i="16"/>
  <c r="B125" i="16"/>
  <c r="C124" i="16"/>
  <c r="B124" i="16"/>
  <c r="C123" i="16"/>
  <c r="B123" i="16"/>
  <c r="C122" i="16"/>
  <c r="B122" i="16"/>
  <c r="C121" i="16"/>
  <c r="B121" i="16"/>
  <c r="C120" i="16"/>
  <c r="B120" i="16"/>
  <c r="C119" i="16"/>
  <c r="B119" i="16"/>
  <c r="C118" i="16"/>
  <c r="B118" i="16"/>
  <c r="C117" i="16"/>
  <c r="B117" i="16"/>
  <c r="C116" i="16"/>
  <c r="B116" i="16"/>
  <c r="C115" i="16"/>
  <c r="B115" i="16"/>
  <c r="C114" i="16"/>
  <c r="B114" i="16"/>
  <c r="C113" i="16"/>
  <c r="B113" i="16"/>
  <c r="C112" i="16"/>
  <c r="B112" i="16"/>
  <c r="C111" i="16"/>
  <c r="B111" i="16"/>
  <c r="C110" i="16"/>
  <c r="B110" i="16"/>
  <c r="C109" i="16"/>
  <c r="B109" i="16"/>
  <c r="C108" i="16"/>
  <c r="B108" i="16"/>
  <c r="C107" i="16"/>
  <c r="B107" i="16"/>
  <c r="C106" i="16"/>
  <c r="B106" i="16"/>
  <c r="C105" i="16"/>
  <c r="B105" i="16"/>
  <c r="C104" i="16"/>
  <c r="B104" i="16"/>
  <c r="C103" i="16"/>
  <c r="B103" i="16"/>
  <c r="C102" i="16"/>
  <c r="B102" i="16"/>
  <c r="C101" i="16"/>
  <c r="B101" i="16"/>
  <c r="C100" i="16"/>
  <c r="B100" i="16"/>
  <c r="C99" i="16"/>
  <c r="B99" i="16"/>
  <c r="C98" i="16"/>
  <c r="B98" i="16"/>
  <c r="C97" i="16"/>
  <c r="B97" i="16"/>
  <c r="C96" i="16"/>
  <c r="B96" i="16"/>
  <c r="C95" i="16"/>
  <c r="B95" i="16"/>
  <c r="C94" i="16"/>
  <c r="B94" i="16"/>
  <c r="C93" i="16"/>
  <c r="B93" i="16"/>
  <c r="C92" i="16"/>
  <c r="B92" i="16"/>
  <c r="C91" i="16"/>
  <c r="B91" i="16"/>
  <c r="C90" i="16"/>
  <c r="B90" i="16"/>
  <c r="C89" i="16"/>
  <c r="B89" i="16"/>
  <c r="C88" i="16"/>
  <c r="B88" i="16"/>
  <c r="C87" i="16"/>
  <c r="B87" i="16"/>
  <c r="C86" i="16"/>
  <c r="B86" i="16"/>
  <c r="C85" i="16"/>
  <c r="B85" i="16"/>
  <c r="C84" i="16"/>
  <c r="B84" i="16"/>
  <c r="C83" i="16"/>
  <c r="B83" i="16"/>
  <c r="C82" i="16"/>
  <c r="B82" i="16"/>
  <c r="C81" i="16"/>
  <c r="B81" i="16"/>
  <c r="C80" i="16"/>
  <c r="B80" i="16"/>
  <c r="C79" i="16"/>
  <c r="B79" i="16"/>
  <c r="C78" i="16"/>
  <c r="B78" i="16"/>
  <c r="C77" i="16"/>
  <c r="B77" i="16"/>
  <c r="C76" i="16"/>
  <c r="B76" i="16"/>
  <c r="C75" i="16"/>
  <c r="B75" i="16"/>
  <c r="C74" i="16"/>
  <c r="B74" i="16"/>
  <c r="C73" i="16"/>
  <c r="B73" i="16"/>
  <c r="C72" i="16"/>
  <c r="B72" i="16"/>
  <c r="C71" i="16"/>
  <c r="B71" i="16"/>
  <c r="C70" i="16"/>
  <c r="B70" i="16"/>
  <c r="C69" i="16"/>
  <c r="B69" i="16"/>
  <c r="C68" i="16"/>
  <c r="B68" i="16"/>
  <c r="C67" i="16"/>
  <c r="B67" i="16"/>
  <c r="C66" i="16"/>
  <c r="B66" i="16"/>
  <c r="C65" i="16"/>
  <c r="B65" i="16"/>
  <c r="C64" i="16"/>
  <c r="B64" i="16"/>
  <c r="C63" i="16"/>
  <c r="B63" i="16"/>
  <c r="C62" i="16"/>
  <c r="B62" i="16"/>
  <c r="C61" i="16"/>
  <c r="B61" i="16"/>
  <c r="C60" i="16"/>
  <c r="B60" i="16"/>
  <c r="C59" i="16"/>
  <c r="B59" i="16"/>
  <c r="C58" i="16"/>
  <c r="B58" i="16"/>
  <c r="C57" i="16"/>
  <c r="B57" i="16"/>
  <c r="C56" i="16"/>
  <c r="B56" i="16"/>
  <c r="C55" i="16"/>
  <c r="B55" i="16"/>
  <c r="C54" i="16"/>
  <c r="B54" i="16"/>
  <c r="C53" i="16"/>
  <c r="B53" i="16"/>
  <c r="C52" i="16"/>
  <c r="B52" i="16"/>
  <c r="C51" i="16"/>
  <c r="B51" i="16"/>
  <c r="C50" i="16"/>
  <c r="B50" i="16"/>
  <c r="C49" i="16"/>
  <c r="B49" i="16"/>
  <c r="C48" i="16"/>
  <c r="B48" i="16"/>
  <c r="C47" i="16"/>
  <c r="B47" i="16"/>
  <c r="C46" i="16"/>
  <c r="B46" i="16"/>
  <c r="C45" i="16"/>
  <c r="B45" i="16"/>
  <c r="C44" i="16"/>
  <c r="B44" i="16"/>
  <c r="C43" i="16"/>
  <c r="B43" i="16"/>
  <c r="C42" i="16"/>
  <c r="B42" i="16"/>
  <c r="C41" i="16"/>
  <c r="B41" i="16"/>
  <c r="C40" i="16"/>
  <c r="B40" i="16"/>
  <c r="C39" i="16"/>
  <c r="B39" i="16"/>
  <c r="C38" i="16"/>
  <c r="B38" i="16"/>
  <c r="C37" i="16"/>
  <c r="B37" i="16"/>
  <c r="C36" i="16"/>
  <c r="B36" i="16"/>
  <c r="C35" i="16"/>
  <c r="B35" i="16"/>
  <c r="C34" i="16"/>
  <c r="B34" i="16"/>
  <c r="C33" i="16"/>
  <c r="B33" i="16"/>
  <c r="C32" i="16"/>
  <c r="B32" i="16"/>
  <c r="C31" i="16"/>
  <c r="B31" i="16"/>
  <c r="C30" i="16"/>
  <c r="B30" i="16"/>
  <c r="C29" i="16"/>
  <c r="B29" i="16"/>
  <c r="C28" i="16"/>
  <c r="B28" i="16"/>
  <c r="C27" i="16"/>
  <c r="B27" i="16"/>
  <c r="C26" i="16"/>
  <c r="B26" i="16"/>
  <c r="C25" i="16"/>
  <c r="B25" i="16"/>
  <c r="C24" i="16"/>
  <c r="B24" i="16"/>
  <c r="C23" i="16"/>
  <c r="B23" i="16"/>
  <c r="C22" i="16"/>
  <c r="B22" i="16"/>
  <c r="C21" i="16"/>
  <c r="B21" i="16"/>
  <c r="C20" i="16"/>
  <c r="B20" i="16"/>
  <c r="C19" i="16"/>
  <c r="B19" i="16"/>
  <c r="C18" i="16"/>
  <c r="B18" i="16"/>
  <c r="C17" i="16"/>
  <c r="B17" i="16"/>
  <c r="C16" i="16"/>
  <c r="B16" i="16"/>
  <c r="C15" i="16"/>
  <c r="B15" i="16"/>
  <c r="C14" i="16"/>
  <c r="B14" i="16"/>
  <c r="C13" i="16"/>
  <c r="B13" i="16"/>
  <c r="C12" i="16"/>
  <c r="B12" i="16"/>
  <c r="C11" i="16"/>
  <c r="B11" i="16"/>
  <c r="C10" i="16"/>
  <c r="B10" i="16"/>
  <c r="C9" i="16"/>
  <c r="B9" i="16"/>
  <c r="C8" i="16"/>
  <c r="B8" i="16"/>
  <c r="C7" i="16"/>
  <c r="B7" i="16"/>
  <c r="C6" i="16"/>
  <c r="B6" i="16"/>
  <c r="C5" i="16"/>
  <c r="B5" i="16"/>
  <c r="C4" i="16"/>
  <c r="B4" i="16"/>
  <c r="A2" i="16"/>
  <c r="AF1" i="16" s="1"/>
  <c r="C208" i="15"/>
  <c r="B208" i="15"/>
  <c r="C207" i="15"/>
  <c r="B207" i="15"/>
  <c r="C206" i="15"/>
  <c r="B206" i="15"/>
  <c r="C205" i="15"/>
  <c r="B205" i="15"/>
  <c r="C204" i="15"/>
  <c r="B204" i="15"/>
  <c r="C203" i="15"/>
  <c r="B203" i="15"/>
  <c r="C202" i="15"/>
  <c r="B202" i="15"/>
  <c r="C201" i="15"/>
  <c r="B201" i="15"/>
  <c r="C200" i="15"/>
  <c r="B200" i="15"/>
  <c r="C199" i="15"/>
  <c r="B199" i="15"/>
  <c r="C198" i="15"/>
  <c r="B198" i="15"/>
  <c r="C197" i="15"/>
  <c r="B197" i="15"/>
  <c r="C196" i="15"/>
  <c r="B196" i="15"/>
  <c r="C195" i="15"/>
  <c r="B195" i="15"/>
  <c r="C194" i="15"/>
  <c r="B194" i="15"/>
  <c r="C193" i="15"/>
  <c r="B193" i="15"/>
  <c r="C192" i="15"/>
  <c r="B192" i="15"/>
  <c r="C191" i="15"/>
  <c r="B191" i="15"/>
  <c r="C190" i="15"/>
  <c r="B190" i="15"/>
  <c r="C189" i="15"/>
  <c r="B189" i="15"/>
  <c r="C188" i="15"/>
  <c r="B188" i="15"/>
  <c r="C187" i="15"/>
  <c r="B187" i="15"/>
  <c r="C186" i="15"/>
  <c r="B186" i="15"/>
  <c r="C185" i="15"/>
  <c r="B185" i="15"/>
  <c r="C184" i="15"/>
  <c r="B184" i="15"/>
  <c r="C183" i="15"/>
  <c r="B183" i="15"/>
  <c r="C182" i="15"/>
  <c r="B182" i="15"/>
  <c r="C181" i="15"/>
  <c r="B181" i="15"/>
  <c r="C180" i="15"/>
  <c r="B180" i="15"/>
  <c r="C179" i="15"/>
  <c r="B179" i="15"/>
  <c r="C178" i="15"/>
  <c r="B178" i="15"/>
  <c r="C177" i="15"/>
  <c r="B177" i="15"/>
  <c r="C176" i="15"/>
  <c r="B176" i="15"/>
  <c r="C175" i="15"/>
  <c r="B175" i="15"/>
  <c r="C174" i="15"/>
  <c r="B174" i="15"/>
  <c r="C173" i="15"/>
  <c r="B173" i="15"/>
  <c r="C172" i="15"/>
  <c r="B172" i="15"/>
  <c r="C171" i="15"/>
  <c r="B171" i="15"/>
  <c r="C170" i="15"/>
  <c r="B170" i="15"/>
  <c r="C169" i="15"/>
  <c r="B169" i="15"/>
  <c r="C168" i="15"/>
  <c r="B168" i="15"/>
  <c r="C167" i="15"/>
  <c r="B167" i="15"/>
  <c r="C166" i="15"/>
  <c r="B166" i="15"/>
  <c r="C165" i="15"/>
  <c r="B165" i="15"/>
  <c r="C164" i="15"/>
  <c r="B164" i="15"/>
  <c r="C163" i="15"/>
  <c r="B163" i="15"/>
  <c r="C162" i="15"/>
  <c r="B162" i="15"/>
  <c r="C161" i="15"/>
  <c r="B161" i="15"/>
  <c r="C160" i="15"/>
  <c r="B160" i="15"/>
  <c r="C159" i="15"/>
  <c r="B159" i="15"/>
  <c r="C158" i="15"/>
  <c r="B158" i="15"/>
  <c r="C157" i="15"/>
  <c r="B157" i="15"/>
  <c r="C156" i="15"/>
  <c r="B156" i="15"/>
  <c r="C155" i="15"/>
  <c r="B155" i="15"/>
  <c r="C154" i="15"/>
  <c r="B154" i="15"/>
  <c r="C153" i="15"/>
  <c r="B153" i="15"/>
  <c r="C152" i="15"/>
  <c r="B152" i="15"/>
  <c r="C151" i="15"/>
  <c r="B151" i="15"/>
  <c r="C150" i="15"/>
  <c r="B150" i="15"/>
  <c r="C149" i="15"/>
  <c r="B149" i="15"/>
  <c r="C148" i="15"/>
  <c r="B148" i="15"/>
  <c r="C147" i="15"/>
  <c r="B147" i="15"/>
  <c r="C146" i="15"/>
  <c r="B146" i="15"/>
  <c r="C145" i="15"/>
  <c r="B145" i="15"/>
  <c r="C144" i="15"/>
  <c r="B144" i="15"/>
  <c r="C143" i="15"/>
  <c r="B143" i="15"/>
  <c r="C142" i="15"/>
  <c r="B142" i="15"/>
  <c r="C141" i="15"/>
  <c r="B141" i="15"/>
  <c r="C140" i="15"/>
  <c r="B140" i="15"/>
  <c r="C139" i="15"/>
  <c r="B139" i="15"/>
  <c r="C138" i="15"/>
  <c r="B138" i="15"/>
  <c r="C137" i="15"/>
  <c r="B137" i="15"/>
  <c r="C136" i="15"/>
  <c r="B136" i="15"/>
  <c r="C135" i="15"/>
  <c r="B135" i="15"/>
  <c r="C134" i="15"/>
  <c r="B134" i="15"/>
  <c r="C133" i="15"/>
  <c r="B133" i="15"/>
  <c r="C132" i="15"/>
  <c r="B132" i="15"/>
  <c r="C131" i="15"/>
  <c r="B131" i="15"/>
  <c r="C130" i="15"/>
  <c r="B130" i="15"/>
  <c r="C129" i="15"/>
  <c r="B129" i="15"/>
  <c r="C128" i="15"/>
  <c r="B128" i="15"/>
  <c r="C127" i="15"/>
  <c r="B127" i="15"/>
  <c r="C126" i="15"/>
  <c r="B126" i="15"/>
  <c r="C125" i="15"/>
  <c r="B125" i="15"/>
  <c r="C124" i="15"/>
  <c r="B124" i="15"/>
  <c r="C123" i="15"/>
  <c r="B123" i="15"/>
  <c r="C122" i="15"/>
  <c r="B122" i="15"/>
  <c r="C121" i="15"/>
  <c r="B121" i="15"/>
  <c r="C120" i="15"/>
  <c r="B120" i="15"/>
  <c r="C119" i="15"/>
  <c r="B119" i="15"/>
  <c r="C118" i="15"/>
  <c r="B118" i="15"/>
  <c r="C117" i="15"/>
  <c r="B117" i="15"/>
  <c r="C116" i="15"/>
  <c r="B116" i="15"/>
  <c r="C115" i="15"/>
  <c r="B115" i="15"/>
  <c r="C114" i="15"/>
  <c r="B114" i="15"/>
  <c r="C113" i="15"/>
  <c r="B113" i="15"/>
  <c r="C112" i="15"/>
  <c r="B112" i="15"/>
  <c r="C111" i="15"/>
  <c r="B111" i="15"/>
  <c r="C110" i="15"/>
  <c r="B110" i="15"/>
  <c r="C109" i="15"/>
  <c r="B109" i="15"/>
  <c r="C108" i="15"/>
  <c r="B108" i="15"/>
  <c r="C107" i="15"/>
  <c r="B107" i="15"/>
  <c r="C106" i="15"/>
  <c r="B106" i="15"/>
  <c r="C105" i="15"/>
  <c r="B105" i="15"/>
  <c r="C104" i="15"/>
  <c r="B104" i="15"/>
  <c r="C103" i="15"/>
  <c r="B103" i="15"/>
  <c r="C102" i="15"/>
  <c r="B102" i="15"/>
  <c r="C101" i="15"/>
  <c r="B101" i="15"/>
  <c r="C100" i="15"/>
  <c r="B100" i="15"/>
  <c r="C99" i="15"/>
  <c r="B99" i="15"/>
  <c r="C98" i="15"/>
  <c r="B98" i="15"/>
  <c r="C97" i="15"/>
  <c r="B97" i="15"/>
  <c r="C96" i="15"/>
  <c r="B96" i="15"/>
  <c r="C95" i="15"/>
  <c r="B95" i="15"/>
  <c r="C94" i="15"/>
  <c r="B94" i="15"/>
  <c r="C93" i="15"/>
  <c r="B93" i="15"/>
  <c r="C92" i="15"/>
  <c r="B92" i="15"/>
  <c r="C91" i="15"/>
  <c r="B91" i="15"/>
  <c r="C90" i="15"/>
  <c r="B90" i="15"/>
  <c r="C89" i="15"/>
  <c r="B89" i="15"/>
  <c r="C88" i="15"/>
  <c r="B88" i="15"/>
  <c r="C87" i="15"/>
  <c r="B87" i="15"/>
  <c r="C86" i="15"/>
  <c r="B86" i="15"/>
  <c r="C85" i="15"/>
  <c r="B85" i="15"/>
  <c r="C84" i="15"/>
  <c r="B84" i="15"/>
  <c r="C83" i="15"/>
  <c r="B83" i="15"/>
  <c r="C82" i="15"/>
  <c r="B82" i="15"/>
  <c r="C81" i="15"/>
  <c r="B81" i="15"/>
  <c r="C80" i="15"/>
  <c r="B80" i="15"/>
  <c r="C79" i="15"/>
  <c r="B79" i="15"/>
  <c r="C78" i="15"/>
  <c r="B78" i="15"/>
  <c r="C77" i="15"/>
  <c r="B77" i="15"/>
  <c r="C76" i="15"/>
  <c r="B76" i="15"/>
  <c r="C75" i="15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A2" i="15"/>
  <c r="AF1" i="15" s="1"/>
  <c r="AH1" i="14"/>
  <c r="AB1" i="14"/>
  <c r="L1" i="14"/>
  <c r="C208" i="14"/>
  <c r="B208" i="14"/>
  <c r="C207" i="14"/>
  <c r="B207" i="14"/>
  <c r="C206" i="14"/>
  <c r="B206" i="14"/>
  <c r="C205" i="14"/>
  <c r="B205" i="14"/>
  <c r="C204" i="14"/>
  <c r="B204" i="14"/>
  <c r="C203" i="14"/>
  <c r="B203" i="14"/>
  <c r="C202" i="14"/>
  <c r="B202" i="14"/>
  <c r="C201" i="14"/>
  <c r="B201" i="14"/>
  <c r="C200" i="14"/>
  <c r="B200" i="14"/>
  <c r="C199" i="14"/>
  <c r="B199" i="14"/>
  <c r="C198" i="14"/>
  <c r="B198" i="14"/>
  <c r="C197" i="14"/>
  <c r="B197" i="14"/>
  <c r="C196" i="14"/>
  <c r="B196" i="14"/>
  <c r="C195" i="14"/>
  <c r="B195" i="14"/>
  <c r="C194" i="14"/>
  <c r="B194" i="14"/>
  <c r="C193" i="14"/>
  <c r="B193" i="14"/>
  <c r="C192" i="14"/>
  <c r="B192" i="14"/>
  <c r="C191" i="14"/>
  <c r="B191" i="14"/>
  <c r="C190" i="14"/>
  <c r="B190" i="14"/>
  <c r="C189" i="14"/>
  <c r="B189" i="14"/>
  <c r="C188" i="14"/>
  <c r="B188" i="14"/>
  <c r="C187" i="14"/>
  <c r="B187" i="14"/>
  <c r="C186" i="14"/>
  <c r="B186" i="14"/>
  <c r="C185" i="14"/>
  <c r="B185" i="14"/>
  <c r="C184" i="14"/>
  <c r="B184" i="14"/>
  <c r="C183" i="14"/>
  <c r="B183" i="14"/>
  <c r="C182" i="14"/>
  <c r="B182" i="14"/>
  <c r="C181" i="14"/>
  <c r="B181" i="14"/>
  <c r="C180" i="14"/>
  <c r="B180" i="14"/>
  <c r="C179" i="14"/>
  <c r="B179" i="14"/>
  <c r="C178" i="14"/>
  <c r="B178" i="14"/>
  <c r="C177" i="14"/>
  <c r="B177" i="14"/>
  <c r="C176" i="14"/>
  <c r="B176" i="14"/>
  <c r="C175" i="14"/>
  <c r="B175" i="14"/>
  <c r="C174" i="14"/>
  <c r="B174" i="14"/>
  <c r="C173" i="14"/>
  <c r="B173" i="14"/>
  <c r="C172" i="14"/>
  <c r="B172" i="14"/>
  <c r="C171" i="14"/>
  <c r="B171" i="14"/>
  <c r="C170" i="14"/>
  <c r="B170" i="14"/>
  <c r="C169" i="14"/>
  <c r="B169" i="14"/>
  <c r="C168" i="14"/>
  <c r="B168" i="14"/>
  <c r="C167" i="14"/>
  <c r="B167" i="14"/>
  <c r="C166" i="14"/>
  <c r="B166" i="14"/>
  <c r="C165" i="14"/>
  <c r="B165" i="14"/>
  <c r="C164" i="14"/>
  <c r="B164" i="14"/>
  <c r="C163" i="14"/>
  <c r="B163" i="14"/>
  <c r="C162" i="14"/>
  <c r="B162" i="14"/>
  <c r="C161" i="14"/>
  <c r="B161" i="14"/>
  <c r="C160" i="14"/>
  <c r="B160" i="14"/>
  <c r="C159" i="14"/>
  <c r="B159" i="14"/>
  <c r="C158" i="14"/>
  <c r="B158" i="14"/>
  <c r="C157" i="14"/>
  <c r="B157" i="14"/>
  <c r="C156" i="14"/>
  <c r="B156" i="14"/>
  <c r="C155" i="14"/>
  <c r="B155" i="14"/>
  <c r="C154" i="14"/>
  <c r="B154" i="14"/>
  <c r="C153" i="14"/>
  <c r="B153" i="14"/>
  <c r="C152" i="14"/>
  <c r="B152" i="14"/>
  <c r="C151" i="14"/>
  <c r="B151" i="14"/>
  <c r="C150" i="14"/>
  <c r="B150" i="14"/>
  <c r="C149" i="14"/>
  <c r="B149" i="14"/>
  <c r="C148" i="14"/>
  <c r="B148" i="14"/>
  <c r="C147" i="14"/>
  <c r="B147" i="14"/>
  <c r="C146" i="14"/>
  <c r="B146" i="14"/>
  <c r="C145" i="14"/>
  <c r="B145" i="14"/>
  <c r="C144" i="14"/>
  <c r="B144" i="14"/>
  <c r="C143" i="14"/>
  <c r="B143" i="14"/>
  <c r="C142" i="14"/>
  <c r="B142" i="14"/>
  <c r="C141" i="14"/>
  <c r="B141" i="14"/>
  <c r="C140" i="14"/>
  <c r="B140" i="14"/>
  <c r="C139" i="14"/>
  <c r="B139" i="14"/>
  <c r="C138" i="14"/>
  <c r="B138" i="14"/>
  <c r="C137" i="14"/>
  <c r="B137" i="14"/>
  <c r="C136" i="14"/>
  <c r="B136" i="14"/>
  <c r="C135" i="14"/>
  <c r="B135" i="14"/>
  <c r="C134" i="14"/>
  <c r="B134" i="14"/>
  <c r="C133" i="14"/>
  <c r="B133" i="14"/>
  <c r="C132" i="14"/>
  <c r="B132" i="14"/>
  <c r="C131" i="14"/>
  <c r="B131" i="14"/>
  <c r="C130" i="14"/>
  <c r="B130" i="14"/>
  <c r="C129" i="14"/>
  <c r="B129" i="14"/>
  <c r="C128" i="14"/>
  <c r="B128" i="14"/>
  <c r="C127" i="14"/>
  <c r="B127" i="14"/>
  <c r="C126" i="14"/>
  <c r="B126" i="14"/>
  <c r="C125" i="14"/>
  <c r="B125" i="14"/>
  <c r="C124" i="14"/>
  <c r="B124" i="14"/>
  <c r="C123" i="14"/>
  <c r="B123" i="14"/>
  <c r="C122" i="14"/>
  <c r="B122" i="14"/>
  <c r="C121" i="14"/>
  <c r="B121" i="14"/>
  <c r="C120" i="14"/>
  <c r="B120" i="14"/>
  <c r="C119" i="14"/>
  <c r="B119" i="14"/>
  <c r="C118" i="14"/>
  <c r="B118" i="14"/>
  <c r="C117" i="14"/>
  <c r="B117" i="14"/>
  <c r="C116" i="14"/>
  <c r="B116" i="14"/>
  <c r="C115" i="14"/>
  <c r="B115" i="14"/>
  <c r="C114" i="14"/>
  <c r="B114" i="14"/>
  <c r="C113" i="14"/>
  <c r="B113" i="14"/>
  <c r="C112" i="14"/>
  <c r="B112" i="14"/>
  <c r="C111" i="14"/>
  <c r="B111" i="14"/>
  <c r="C110" i="14"/>
  <c r="B110" i="14"/>
  <c r="C109" i="14"/>
  <c r="B109" i="14"/>
  <c r="C108" i="14"/>
  <c r="B108" i="14"/>
  <c r="C107" i="14"/>
  <c r="B107" i="14"/>
  <c r="C106" i="14"/>
  <c r="B106" i="14"/>
  <c r="C105" i="14"/>
  <c r="B105" i="14"/>
  <c r="C104" i="14"/>
  <c r="B104" i="14"/>
  <c r="C103" i="14"/>
  <c r="B103" i="14"/>
  <c r="C102" i="14"/>
  <c r="B102" i="14"/>
  <c r="C101" i="14"/>
  <c r="B101" i="14"/>
  <c r="C100" i="14"/>
  <c r="B100" i="14"/>
  <c r="C99" i="14"/>
  <c r="B99" i="14"/>
  <c r="C98" i="14"/>
  <c r="B98" i="14"/>
  <c r="C97" i="14"/>
  <c r="B97" i="14"/>
  <c r="C96" i="14"/>
  <c r="B96" i="14"/>
  <c r="C95" i="14"/>
  <c r="B95" i="14"/>
  <c r="C94" i="14"/>
  <c r="B94" i="14"/>
  <c r="C93" i="14"/>
  <c r="B93" i="14"/>
  <c r="C92" i="14"/>
  <c r="B92" i="14"/>
  <c r="C91" i="14"/>
  <c r="B91" i="14"/>
  <c r="C90" i="14"/>
  <c r="B90" i="14"/>
  <c r="C89" i="14"/>
  <c r="B89" i="14"/>
  <c r="C88" i="14"/>
  <c r="B88" i="14"/>
  <c r="C87" i="14"/>
  <c r="B87" i="14"/>
  <c r="C86" i="14"/>
  <c r="B86" i="14"/>
  <c r="C85" i="14"/>
  <c r="B85" i="14"/>
  <c r="C84" i="14"/>
  <c r="B84" i="14"/>
  <c r="C83" i="14"/>
  <c r="B83" i="14"/>
  <c r="C82" i="14"/>
  <c r="B82" i="14"/>
  <c r="C81" i="14"/>
  <c r="B81" i="14"/>
  <c r="C80" i="14"/>
  <c r="B80" i="14"/>
  <c r="C79" i="14"/>
  <c r="B79" i="14"/>
  <c r="C78" i="14"/>
  <c r="B78" i="14"/>
  <c r="C77" i="14"/>
  <c r="B77" i="14"/>
  <c r="C76" i="14"/>
  <c r="B76" i="14"/>
  <c r="C75" i="14"/>
  <c r="B75" i="14"/>
  <c r="C74" i="14"/>
  <c r="B74" i="14"/>
  <c r="C73" i="14"/>
  <c r="B73" i="14"/>
  <c r="C72" i="14"/>
  <c r="B72" i="14"/>
  <c r="C71" i="14"/>
  <c r="B71" i="14"/>
  <c r="C70" i="14"/>
  <c r="B70" i="14"/>
  <c r="C69" i="14"/>
  <c r="B69" i="14"/>
  <c r="C68" i="14"/>
  <c r="B68" i="14"/>
  <c r="C67" i="14"/>
  <c r="B67" i="14"/>
  <c r="C66" i="14"/>
  <c r="B66" i="14"/>
  <c r="C65" i="14"/>
  <c r="B65" i="14"/>
  <c r="C64" i="14"/>
  <c r="B64" i="14"/>
  <c r="C63" i="14"/>
  <c r="B63" i="14"/>
  <c r="C62" i="14"/>
  <c r="B62" i="14"/>
  <c r="C61" i="14"/>
  <c r="B61" i="14"/>
  <c r="C60" i="14"/>
  <c r="B60" i="14"/>
  <c r="C59" i="14"/>
  <c r="B59" i="14"/>
  <c r="C58" i="14"/>
  <c r="B58" i="14"/>
  <c r="C57" i="14"/>
  <c r="B57" i="14"/>
  <c r="C56" i="14"/>
  <c r="B56" i="14"/>
  <c r="C55" i="14"/>
  <c r="B55" i="14"/>
  <c r="C54" i="14"/>
  <c r="B54" i="14"/>
  <c r="C53" i="14"/>
  <c r="B53" i="14"/>
  <c r="C52" i="14"/>
  <c r="B52" i="14"/>
  <c r="C51" i="14"/>
  <c r="B51" i="14"/>
  <c r="C50" i="14"/>
  <c r="B50" i="14"/>
  <c r="C49" i="14"/>
  <c r="B49" i="14"/>
  <c r="C48" i="14"/>
  <c r="B48" i="14"/>
  <c r="C47" i="14"/>
  <c r="B47" i="14"/>
  <c r="C46" i="14"/>
  <c r="B46" i="14"/>
  <c r="C45" i="14"/>
  <c r="B45" i="14"/>
  <c r="C44" i="14"/>
  <c r="B44" i="14"/>
  <c r="C43" i="14"/>
  <c r="B43" i="14"/>
  <c r="C42" i="14"/>
  <c r="B42" i="14"/>
  <c r="C41" i="14"/>
  <c r="B41" i="14"/>
  <c r="C40" i="14"/>
  <c r="B40" i="14"/>
  <c r="C39" i="14"/>
  <c r="B39" i="14"/>
  <c r="C38" i="14"/>
  <c r="B38" i="14"/>
  <c r="C37" i="14"/>
  <c r="B37" i="14"/>
  <c r="C36" i="14"/>
  <c r="B36" i="14"/>
  <c r="C35" i="14"/>
  <c r="B35" i="14"/>
  <c r="C34" i="14"/>
  <c r="B34" i="14"/>
  <c r="C33" i="14"/>
  <c r="B33" i="14"/>
  <c r="C32" i="14"/>
  <c r="B32" i="14"/>
  <c r="C31" i="14"/>
  <c r="B31" i="14"/>
  <c r="C30" i="14"/>
  <c r="B30" i="14"/>
  <c r="C29" i="14"/>
  <c r="B29" i="14"/>
  <c r="C28" i="14"/>
  <c r="B28" i="14"/>
  <c r="C27" i="14"/>
  <c r="B27" i="14"/>
  <c r="C26" i="14"/>
  <c r="B26" i="14"/>
  <c r="C25" i="14"/>
  <c r="B25" i="14"/>
  <c r="C24" i="14"/>
  <c r="B24" i="14"/>
  <c r="C23" i="14"/>
  <c r="B23" i="14"/>
  <c r="C22" i="14"/>
  <c r="B22" i="14"/>
  <c r="C21" i="14"/>
  <c r="B21" i="14"/>
  <c r="C20" i="14"/>
  <c r="B20" i="14"/>
  <c r="C19" i="14"/>
  <c r="B19" i="14"/>
  <c r="C18" i="14"/>
  <c r="B18" i="14"/>
  <c r="C17" i="14"/>
  <c r="B17" i="14"/>
  <c r="C16" i="14"/>
  <c r="B16" i="14"/>
  <c r="C15" i="14"/>
  <c r="B15" i="14"/>
  <c r="C14" i="14"/>
  <c r="B14" i="14"/>
  <c r="C13" i="14"/>
  <c r="B13" i="14"/>
  <c r="C12" i="14"/>
  <c r="B12" i="14"/>
  <c r="C11" i="14"/>
  <c r="B11" i="14"/>
  <c r="C10" i="14"/>
  <c r="B10" i="14"/>
  <c r="C9" i="14"/>
  <c r="B9" i="14"/>
  <c r="C8" i="14"/>
  <c r="B8" i="14"/>
  <c r="C7" i="14"/>
  <c r="B7" i="14"/>
  <c r="C6" i="14"/>
  <c r="B6" i="14"/>
  <c r="C5" i="14"/>
  <c r="B5" i="14"/>
  <c r="C4" i="14"/>
  <c r="B4" i="14"/>
  <c r="A2" i="14"/>
  <c r="AF1" i="14" s="1"/>
  <c r="C208" i="13"/>
  <c r="B208" i="13"/>
  <c r="C207" i="13"/>
  <c r="B207" i="13"/>
  <c r="C206" i="13"/>
  <c r="B206" i="13"/>
  <c r="C205" i="13"/>
  <c r="B205" i="13"/>
  <c r="C204" i="13"/>
  <c r="B204" i="13"/>
  <c r="C203" i="13"/>
  <c r="B203" i="13"/>
  <c r="C202" i="13"/>
  <c r="B202" i="13"/>
  <c r="C201" i="13"/>
  <c r="B201" i="13"/>
  <c r="C200" i="13"/>
  <c r="B200" i="13"/>
  <c r="C199" i="13"/>
  <c r="B199" i="13"/>
  <c r="C198" i="13"/>
  <c r="B198" i="13"/>
  <c r="C197" i="13"/>
  <c r="B197" i="13"/>
  <c r="C196" i="13"/>
  <c r="B196" i="13"/>
  <c r="C195" i="13"/>
  <c r="B195" i="13"/>
  <c r="C194" i="13"/>
  <c r="B194" i="13"/>
  <c r="C193" i="13"/>
  <c r="B193" i="13"/>
  <c r="C192" i="13"/>
  <c r="B192" i="13"/>
  <c r="C191" i="13"/>
  <c r="B191" i="13"/>
  <c r="C190" i="13"/>
  <c r="B190" i="13"/>
  <c r="C189" i="13"/>
  <c r="B189" i="13"/>
  <c r="C188" i="13"/>
  <c r="B188" i="13"/>
  <c r="C187" i="13"/>
  <c r="B187" i="13"/>
  <c r="C186" i="13"/>
  <c r="B186" i="13"/>
  <c r="C185" i="13"/>
  <c r="B185" i="13"/>
  <c r="C184" i="13"/>
  <c r="B184" i="13"/>
  <c r="C183" i="13"/>
  <c r="B183" i="13"/>
  <c r="C182" i="13"/>
  <c r="B182" i="13"/>
  <c r="C181" i="13"/>
  <c r="B181" i="13"/>
  <c r="C180" i="13"/>
  <c r="B180" i="13"/>
  <c r="C179" i="13"/>
  <c r="B179" i="13"/>
  <c r="C178" i="13"/>
  <c r="B178" i="13"/>
  <c r="C177" i="13"/>
  <c r="B177" i="13"/>
  <c r="C176" i="13"/>
  <c r="B176" i="13"/>
  <c r="C175" i="13"/>
  <c r="B175" i="13"/>
  <c r="C174" i="13"/>
  <c r="B174" i="13"/>
  <c r="C173" i="13"/>
  <c r="B173" i="13"/>
  <c r="C172" i="13"/>
  <c r="B172" i="13"/>
  <c r="C171" i="13"/>
  <c r="B171" i="13"/>
  <c r="C170" i="13"/>
  <c r="B170" i="13"/>
  <c r="C169" i="13"/>
  <c r="B169" i="13"/>
  <c r="C168" i="13"/>
  <c r="B168" i="13"/>
  <c r="C167" i="13"/>
  <c r="B167" i="13"/>
  <c r="C166" i="13"/>
  <c r="B166" i="13"/>
  <c r="C165" i="13"/>
  <c r="B165" i="13"/>
  <c r="C164" i="13"/>
  <c r="B164" i="13"/>
  <c r="C163" i="13"/>
  <c r="B163" i="13"/>
  <c r="C162" i="13"/>
  <c r="B162" i="13"/>
  <c r="C161" i="13"/>
  <c r="B161" i="13"/>
  <c r="C160" i="13"/>
  <c r="B160" i="13"/>
  <c r="C159" i="13"/>
  <c r="B159" i="13"/>
  <c r="C158" i="13"/>
  <c r="B158" i="13"/>
  <c r="C157" i="13"/>
  <c r="B157" i="13"/>
  <c r="C156" i="13"/>
  <c r="B156" i="13"/>
  <c r="C155" i="13"/>
  <c r="B155" i="13"/>
  <c r="C154" i="13"/>
  <c r="B154" i="13"/>
  <c r="C153" i="13"/>
  <c r="B153" i="13"/>
  <c r="C152" i="13"/>
  <c r="B152" i="13"/>
  <c r="C151" i="13"/>
  <c r="B151" i="13"/>
  <c r="C150" i="13"/>
  <c r="B150" i="13"/>
  <c r="C149" i="13"/>
  <c r="B149" i="13"/>
  <c r="C148" i="13"/>
  <c r="B148" i="13"/>
  <c r="C147" i="13"/>
  <c r="B147" i="13"/>
  <c r="C146" i="13"/>
  <c r="B146" i="13"/>
  <c r="C145" i="13"/>
  <c r="B145" i="13"/>
  <c r="C144" i="13"/>
  <c r="B144" i="13"/>
  <c r="C143" i="13"/>
  <c r="B143" i="13"/>
  <c r="C142" i="13"/>
  <c r="B142" i="13"/>
  <c r="C141" i="13"/>
  <c r="B141" i="13"/>
  <c r="C140" i="13"/>
  <c r="B140" i="13"/>
  <c r="C139" i="13"/>
  <c r="B139" i="13"/>
  <c r="C138" i="13"/>
  <c r="B138" i="13"/>
  <c r="C137" i="13"/>
  <c r="B137" i="13"/>
  <c r="C136" i="13"/>
  <c r="B136" i="13"/>
  <c r="C135" i="13"/>
  <c r="B135" i="13"/>
  <c r="C134" i="13"/>
  <c r="B134" i="13"/>
  <c r="C133" i="13"/>
  <c r="B133" i="13"/>
  <c r="C132" i="13"/>
  <c r="B132" i="13"/>
  <c r="C131" i="13"/>
  <c r="B131" i="13"/>
  <c r="C130" i="13"/>
  <c r="B130" i="13"/>
  <c r="C129" i="13"/>
  <c r="B129" i="13"/>
  <c r="C128" i="13"/>
  <c r="B128" i="13"/>
  <c r="C127" i="13"/>
  <c r="B127" i="13"/>
  <c r="C126" i="13"/>
  <c r="B126" i="13"/>
  <c r="C125" i="13"/>
  <c r="B125" i="13"/>
  <c r="C124" i="13"/>
  <c r="B124" i="13"/>
  <c r="C123" i="13"/>
  <c r="B123" i="13"/>
  <c r="C122" i="13"/>
  <c r="B122" i="13"/>
  <c r="C121" i="13"/>
  <c r="B121" i="13"/>
  <c r="C120" i="13"/>
  <c r="B120" i="13"/>
  <c r="C119" i="13"/>
  <c r="B119" i="13"/>
  <c r="C118" i="13"/>
  <c r="B118" i="13"/>
  <c r="C117" i="13"/>
  <c r="B117" i="13"/>
  <c r="C116" i="13"/>
  <c r="B116" i="13"/>
  <c r="C115" i="13"/>
  <c r="B115" i="13"/>
  <c r="C114" i="13"/>
  <c r="B114" i="13"/>
  <c r="C113" i="13"/>
  <c r="B113" i="13"/>
  <c r="C112" i="13"/>
  <c r="B112" i="13"/>
  <c r="C111" i="13"/>
  <c r="B111" i="13"/>
  <c r="C110" i="13"/>
  <c r="B110" i="13"/>
  <c r="C109" i="13"/>
  <c r="B109" i="13"/>
  <c r="C108" i="13"/>
  <c r="B108" i="13"/>
  <c r="C107" i="13"/>
  <c r="B107" i="13"/>
  <c r="C106" i="13"/>
  <c r="B106" i="13"/>
  <c r="C105" i="13"/>
  <c r="B105" i="13"/>
  <c r="C104" i="13"/>
  <c r="B104" i="13"/>
  <c r="C103" i="13"/>
  <c r="B103" i="13"/>
  <c r="C102" i="13"/>
  <c r="B102" i="13"/>
  <c r="C101" i="13"/>
  <c r="B101" i="13"/>
  <c r="C100" i="13"/>
  <c r="B100" i="13"/>
  <c r="C99" i="13"/>
  <c r="B99" i="13"/>
  <c r="C98" i="13"/>
  <c r="B98" i="13"/>
  <c r="C97" i="13"/>
  <c r="B97" i="13"/>
  <c r="C96" i="13"/>
  <c r="B96" i="13"/>
  <c r="C95" i="13"/>
  <c r="B95" i="13"/>
  <c r="C94" i="13"/>
  <c r="B94" i="13"/>
  <c r="C93" i="13"/>
  <c r="B93" i="13"/>
  <c r="C92" i="13"/>
  <c r="B92" i="13"/>
  <c r="C91" i="13"/>
  <c r="B91" i="13"/>
  <c r="C90" i="13"/>
  <c r="B90" i="13"/>
  <c r="C89" i="13"/>
  <c r="B89" i="13"/>
  <c r="C88" i="13"/>
  <c r="B88" i="13"/>
  <c r="C87" i="13"/>
  <c r="B87" i="13"/>
  <c r="C86" i="13"/>
  <c r="B86" i="13"/>
  <c r="C85" i="13"/>
  <c r="B85" i="13"/>
  <c r="C84" i="13"/>
  <c r="B84" i="13"/>
  <c r="C83" i="13"/>
  <c r="B83" i="13"/>
  <c r="C82" i="13"/>
  <c r="B82" i="13"/>
  <c r="C81" i="13"/>
  <c r="B81" i="13"/>
  <c r="C80" i="13"/>
  <c r="B80" i="13"/>
  <c r="C79" i="13"/>
  <c r="B79" i="13"/>
  <c r="C78" i="13"/>
  <c r="B78" i="13"/>
  <c r="C77" i="13"/>
  <c r="B77" i="13"/>
  <c r="C76" i="13"/>
  <c r="B76" i="13"/>
  <c r="C75" i="13"/>
  <c r="B75" i="13"/>
  <c r="C74" i="13"/>
  <c r="B74" i="13"/>
  <c r="C73" i="13"/>
  <c r="B73" i="13"/>
  <c r="C72" i="13"/>
  <c r="B72" i="13"/>
  <c r="C71" i="13"/>
  <c r="B71" i="13"/>
  <c r="C70" i="13"/>
  <c r="B70" i="13"/>
  <c r="C69" i="13"/>
  <c r="B69" i="13"/>
  <c r="C68" i="13"/>
  <c r="B68" i="13"/>
  <c r="C67" i="13"/>
  <c r="B67" i="13"/>
  <c r="C66" i="13"/>
  <c r="B66" i="13"/>
  <c r="C65" i="13"/>
  <c r="B65" i="13"/>
  <c r="C64" i="13"/>
  <c r="B64" i="13"/>
  <c r="C63" i="13"/>
  <c r="B63" i="13"/>
  <c r="C62" i="13"/>
  <c r="B62" i="13"/>
  <c r="C61" i="13"/>
  <c r="B61" i="13"/>
  <c r="C60" i="13"/>
  <c r="B60" i="13"/>
  <c r="C59" i="13"/>
  <c r="B59" i="13"/>
  <c r="C58" i="13"/>
  <c r="B58" i="13"/>
  <c r="C57" i="13"/>
  <c r="B57" i="13"/>
  <c r="C56" i="13"/>
  <c r="B56" i="13"/>
  <c r="C55" i="13"/>
  <c r="B55" i="13"/>
  <c r="C54" i="13"/>
  <c r="B54" i="13"/>
  <c r="C53" i="13"/>
  <c r="B53" i="13"/>
  <c r="C52" i="13"/>
  <c r="B52" i="13"/>
  <c r="C51" i="13"/>
  <c r="B51" i="13"/>
  <c r="C50" i="13"/>
  <c r="B50" i="13"/>
  <c r="C49" i="13"/>
  <c r="B49" i="13"/>
  <c r="C48" i="13"/>
  <c r="B48" i="13"/>
  <c r="C47" i="13"/>
  <c r="B47" i="13"/>
  <c r="C46" i="13"/>
  <c r="B46" i="13"/>
  <c r="C45" i="13"/>
  <c r="B45" i="13"/>
  <c r="C44" i="13"/>
  <c r="B44" i="13"/>
  <c r="C43" i="13"/>
  <c r="B43" i="13"/>
  <c r="C42" i="13"/>
  <c r="B42" i="13"/>
  <c r="C41" i="13"/>
  <c r="B41" i="13"/>
  <c r="C40" i="13"/>
  <c r="B40" i="13"/>
  <c r="C39" i="13"/>
  <c r="B39" i="13"/>
  <c r="C38" i="13"/>
  <c r="B38" i="13"/>
  <c r="C37" i="13"/>
  <c r="B37" i="13"/>
  <c r="C36" i="13"/>
  <c r="B36" i="13"/>
  <c r="C35" i="13"/>
  <c r="B35" i="13"/>
  <c r="C34" i="13"/>
  <c r="B34" i="13"/>
  <c r="C33" i="13"/>
  <c r="B33" i="13"/>
  <c r="C32" i="13"/>
  <c r="B32" i="13"/>
  <c r="C31" i="13"/>
  <c r="B31" i="13"/>
  <c r="C30" i="13"/>
  <c r="B30" i="13"/>
  <c r="C29" i="13"/>
  <c r="B29" i="13"/>
  <c r="C28" i="13"/>
  <c r="B28" i="13"/>
  <c r="C27" i="13"/>
  <c r="B27" i="13"/>
  <c r="C26" i="13"/>
  <c r="B26" i="13"/>
  <c r="C25" i="13"/>
  <c r="B25" i="13"/>
  <c r="C24" i="13"/>
  <c r="B24" i="13"/>
  <c r="C23" i="13"/>
  <c r="B23" i="13"/>
  <c r="C22" i="13"/>
  <c r="B22" i="13"/>
  <c r="C21" i="13"/>
  <c r="B21" i="13"/>
  <c r="C20" i="13"/>
  <c r="B20" i="13"/>
  <c r="C19" i="13"/>
  <c r="B19" i="13"/>
  <c r="C18" i="13"/>
  <c r="B18" i="13"/>
  <c r="C17" i="13"/>
  <c r="B17" i="13"/>
  <c r="C16" i="13"/>
  <c r="B16" i="13"/>
  <c r="C15" i="13"/>
  <c r="B15" i="13"/>
  <c r="C14" i="13"/>
  <c r="B14" i="13"/>
  <c r="C13" i="13"/>
  <c r="B13" i="13"/>
  <c r="C12" i="13"/>
  <c r="B12" i="13"/>
  <c r="C11" i="13"/>
  <c r="B11" i="13"/>
  <c r="C10" i="13"/>
  <c r="B10" i="13"/>
  <c r="C9" i="13"/>
  <c r="B9" i="13"/>
  <c r="C8" i="13"/>
  <c r="B8" i="13"/>
  <c r="C7" i="13"/>
  <c r="B7" i="13"/>
  <c r="C6" i="13"/>
  <c r="B6" i="13"/>
  <c r="C5" i="13"/>
  <c r="B5" i="13"/>
  <c r="C4" i="13"/>
  <c r="B4" i="13"/>
  <c r="A2" i="13"/>
  <c r="AE1" i="13" s="1"/>
  <c r="AH1" i="12"/>
  <c r="C208" i="12"/>
  <c r="B208" i="12"/>
  <c r="C207" i="12"/>
  <c r="B207" i="12"/>
  <c r="C206" i="12"/>
  <c r="B206" i="12"/>
  <c r="C205" i="12"/>
  <c r="B205" i="12"/>
  <c r="C204" i="12"/>
  <c r="B204" i="12"/>
  <c r="C203" i="12"/>
  <c r="B203" i="12"/>
  <c r="C202" i="12"/>
  <c r="B202" i="12"/>
  <c r="C201" i="12"/>
  <c r="B201" i="12"/>
  <c r="C200" i="12"/>
  <c r="B200" i="12"/>
  <c r="C199" i="12"/>
  <c r="B199" i="12"/>
  <c r="C198" i="12"/>
  <c r="B198" i="12"/>
  <c r="C197" i="12"/>
  <c r="B197" i="12"/>
  <c r="C196" i="12"/>
  <c r="B196" i="12"/>
  <c r="C195" i="12"/>
  <c r="B195" i="12"/>
  <c r="C194" i="12"/>
  <c r="B194" i="12"/>
  <c r="C193" i="12"/>
  <c r="B193" i="12"/>
  <c r="C192" i="12"/>
  <c r="B192" i="12"/>
  <c r="C191" i="12"/>
  <c r="B191" i="12"/>
  <c r="C190" i="12"/>
  <c r="B190" i="12"/>
  <c r="C189" i="12"/>
  <c r="B189" i="12"/>
  <c r="C188" i="12"/>
  <c r="B188" i="12"/>
  <c r="C187" i="12"/>
  <c r="B187" i="12"/>
  <c r="C186" i="12"/>
  <c r="B186" i="12"/>
  <c r="C185" i="12"/>
  <c r="B185" i="12"/>
  <c r="C184" i="12"/>
  <c r="B184" i="12"/>
  <c r="C183" i="12"/>
  <c r="B183" i="12"/>
  <c r="C182" i="12"/>
  <c r="B182" i="12"/>
  <c r="C181" i="12"/>
  <c r="B181" i="12"/>
  <c r="C180" i="12"/>
  <c r="B180" i="12"/>
  <c r="C179" i="12"/>
  <c r="B179" i="12"/>
  <c r="C178" i="12"/>
  <c r="B178" i="12"/>
  <c r="C177" i="12"/>
  <c r="B177" i="12"/>
  <c r="C176" i="12"/>
  <c r="B176" i="12"/>
  <c r="C175" i="12"/>
  <c r="B175" i="12"/>
  <c r="C174" i="12"/>
  <c r="B174" i="12"/>
  <c r="C173" i="12"/>
  <c r="B173" i="12"/>
  <c r="C172" i="12"/>
  <c r="B172" i="12"/>
  <c r="C171" i="12"/>
  <c r="B171" i="12"/>
  <c r="C170" i="12"/>
  <c r="B170" i="12"/>
  <c r="C169" i="12"/>
  <c r="B169" i="12"/>
  <c r="C168" i="12"/>
  <c r="B168" i="12"/>
  <c r="C167" i="12"/>
  <c r="B167" i="12"/>
  <c r="C166" i="12"/>
  <c r="B166" i="12"/>
  <c r="C165" i="12"/>
  <c r="B165" i="12"/>
  <c r="C164" i="12"/>
  <c r="B164" i="12"/>
  <c r="C163" i="12"/>
  <c r="B163" i="12"/>
  <c r="C162" i="12"/>
  <c r="B162" i="12"/>
  <c r="C161" i="12"/>
  <c r="B161" i="12"/>
  <c r="C160" i="12"/>
  <c r="B160" i="12"/>
  <c r="C159" i="12"/>
  <c r="B159" i="12"/>
  <c r="C158" i="12"/>
  <c r="B158" i="12"/>
  <c r="C157" i="12"/>
  <c r="B157" i="12"/>
  <c r="C156" i="12"/>
  <c r="B156" i="12"/>
  <c r="C155" i="12"/>
  <c r="B155" i="12"/>
  <c r="C154" i="12"/>
  <c r="B154" i="12"/>
  <c r="C153" i="12"/>
  <c r="B153" i="12"/>
  <c r="C152" i="12"/>
  <c r="B152" i="12"/>
  <c r="C151" i="12"/>
  <c r="B151" i="12"/>
  <c r="C150" i="12"/>
  <c r="B150" i="12"/>
  <c r="C149" i="12"/>
  <c r="B149" i="12"/>
  <c r="C148" i="12"/>
  <c r="B148" i="12"/>
  <c r="C147" i="12"/>
  <c r="B147" i="12"/>
  <c r="C146" i="12"/>
  <c r="B146" i="12"/>
  <c r="C145" i="12"/>
  <c r="B145" i="12"/>
  <c r="C144" i="12"/>
  <c r="B144" i="12"/>
  <c r="C143" i="12"/>
  <c r="B143" i="12"/>
  <c r="C142" i="12"/>
  <c r="B142" i="12"/>
  <c r="C141" i="12"/>
  <c r="B141" i="12"/>
  <c r="C140" i="12"/>
  <c r="B140" i="12"/>
  <c r="C139" i="12"/>
  <c r="B139" i="12"/>
  <c r="C138" i="12"/>
  <c r="B138" i="12"/>
  <c r="C137" i="12"/>
  <c r="B137" i="12"/>
  <c r="C136" i="12"/>
  <c r="B136" i="12"/>
  <c r="C135" i="12"/>
  <c r="B135" i="12"/>
  <c r="C134" i="12"/>
  <c r="B134" i="12"/>
  <c r="C133" i="12"/>
  <c r="B133" i="12"/>
  <c r="C132" i="12"/>
  <c r="B132" i="12"/>
  <c r="C131" i="12"/>
  <c r="B131" i="12"/>
  <c r="C130" i="12"/>
  <c r="B130" i="12"/>
  <c r="C129" i="12"/>
  <c r="B129" i="12"/>
  <c r="C128" i="12"/>
  <c r="B128" i="12"/>
  <c r="C127" i="12"/>
  <c r="B127" i="12"/>
  <c r="C126" i="12"/>
  <c r="B126" i="12"/>
  <c r="C125" i="12"/>
  <c r="B125" i="12"/>
  <c r="C124" i="12"/>
  <c r="B124" i="12"/>
  <c r="C123" i="12"/>
  <c r="B123" i="12"/>
  <c r="C122" i="12"/>
  <c r="B122" i="12"/>
  <c r="C121" i="12"/>
  <c r="B121" i="12"/>
  <c r="C120" i="12"/>
  <c r="B120" i="12"/>
  <c r="C119" i="12"/>
  <c r="B119" i="12"/>
  <c r="C118" i="12"/>
  <c r="B118" i="12"/>
  <c r="C117" i="12"/>
  <c r="B117" i="12"/>
  <c r="C116" i="12"/>
  <c r="B116" i="12"/>
  <c r="C115" i="12"/>
  <c r="B115" i="12"/>
  <c r="C114" i="12"/>
  <c r="B114" i="12"/>
  <c r="C113" i="12"/>
  <c r="B113" i="12"/>
  <c r="C112" i="12"/>
  <c r="B112" i="12"/>
  <c r="C111" i="12"/>
  <c r="B111" i="12"/>
  <c r="C110" i="12"/>
  <c r="B110" i="12"/>
  <c r="C109" i="12"/>
  <c r="B109" i="12"/>
  <c r="C108" i="12"/>
  <c r="B108" i="12"/>
  <c r="C107" i="12"/>
  <c r="B107" i="12"/>
  <c r="C106" i="12"/>
  <c r="B106" i="12"/>
  <c r="C105" i="12"/>
  <c r="B105" i="12"/>
  <c r="C104" i="12"/>
  <c r="B104" i="12"/>
  <c r="C103" i="12"/>
  <c r="B103" i="12"/>
  <c r="C102" i="12"/>
  <c r="B102" i="12"/>
  <c r="C101" i="12"/>
  <c r="B101" i="12"/>
  <c r="C100" i="12"/>
  <c r="B100" i="12"/>
  <c r="C99" i="12"/>
  <c r="B99" i="12"/>
  <c r="C98" i="12"/>
  <c r="B98" i="12"/>
  <c r="C97" i="12"/>
  <c r="B97" i="12"/>
  <c r="C96" i="12"/>
  <c r="B96" i="12"/>
  <c r="C95" i="12"/>
  <c r="B95" i="12"/>
  <c r="C94" i="12"/>
  <c r="B94" i="12"/>
  <c r="C93" i="12"/>
  <c r="B93" i="12"/>
  <c r="C92" i="12"/>
  <c r="B92" i="12"/>
  <c r="C91" i="12"/>
  <c r="B91" i="12"/>
  <c r="C90" i="12"/>
  <c r="B90" i="12"/>
  <c r="C89" i="12"/>
  <c r="B89" i="12"/>
  <c r="C88" i="12"/>
  <c r="B88" i="12"/>
  <c r="C87" i="12"/>
  <c r="B87" i="12"/>
  <c r="C86" i="12"/>
  <c r="B86" i="12"/>
  <c r="C85" i="12"/>
  <c r="B85" i="12"/>
  <c r="C84" i="12"/>
  <c r="B84" i="12"/>
  <c r="C83" i="12"/>
  <c r="B83" i="12"/>
  <c r="C82" i="12"/>
  <c r="B82" i="12"/>
  <c r="C81" i="12"/>
  <c r="B81" i="12"/>
  <c r="C80" i="12"/>
  <c r="B80" i="12"/>
  <c r="C79" i="12"/>
  <c r="B79" i="12"/>
  <c r="C78" i="12"/>
  <c r="B78" i="12"/>
  <c r="C77" i="12"/>
  <c r="B77" i="12"/>
  <c r="C76" i="12"/>
  <c r="B76" i="12"/>
  <c r="C75" i="12"/>
  <c r="B75" i="12"/>
  <c r="C74" i="12"/>
  <c r="B74" i="12"/>
  <c r="C73" i="12"/>
  <c r="B73" i="12"/>
  <c r="C72" i="12"/>
  <c r="B72" i="12"/>
  <c r="C71" i="12"/>
  <c r="B71" i="12"/>
  <c r="C70" i="12"/>
  <c r="B70" i="12"/>
  <c r="C69" i="12"/>
  <c r="B69" i="12"/>
  <c r="C68" i="12"/>
  <c r="B68" i="12"/>
  <c r="C67" i="12"/>
  <c r="B67" i="12"/>
  <c r="C66" i="12"/>
  <c r="B66" i="12"/>
  <c r="C65" i="12"/>
  <c r="B65" i="12"/>
  <c r="C64" i="12"/>
  <c r="B64" i="12"/>
  <c r="C63" i="12"/>
  <c r="B63" i="12"/>
  <c r="C62" i="12"/>
  <c r="B62" i="12"/>
  <c r="C61" i="12"/>
  <c r="B61" i="12"/>
  <c r="C60" i="12"/>
  <c r="B60" i="12"/>
  <c r="C59" i="12"/>
  <c r="B59" i="12"/>
  <c r="C58" i="12"/>
  <c r="B58" i="12"/>
  <c r="C57" i="12"/>
  <c r="B57" i="12"/>
  <c r="C56" i="12"/>
  <c r="B56" i="12"/>
  <c r="C55" i="12"/>
  <c r="B55" i="12"/>
  <c r="C54" i="12"/>
  <c r="B54" i="12"/>
  <c r="C53" i="12"/>
  <c r="B53" i="12"/>
  <c r="C52" i="12"/>
  <c r="B52" i="12"/>
  <c r="C51" i="12"/>
  <c r="B51" i="12"/>
  <c r="C50" i="12"/>
  <c r="B50" i="12"/>
  <c r="C49" i="12"/>
  <c r="B49" i="12"/>
  <c r="C48" i="12"/>
  <c r="B48" i="12"/>
  <c r="C47" i="12"/>
  <c r="B47" i="12"/>
  <c r="C46" i="12"/>
  <c r="B46" i="12"/>
  <c r="C45" i="12"/>
  <c r="B45" i="12"/>
  <c r="C44" i="12"/>
  <c r="B44" i="12"/>
  <c r="C43" i="12"/>
  <c r="B43" i="12"/>
  <c r="C42" i="12"/>
  <c r="B42" i="12"/>
  <c r="C41" i="12"/>
  <c r="B41" i="12"/>
  <c r="C40" i="12"/>
  <c r="B40" i="12"/>
  <c r="C39" i="12"/>
  <c r="B39" i="12"/>
  <c r="C38" i="12"/>
  <c r="B38" i="12"/>
  <c r="C37" i="12"/>
  <c r="B37" i="12"/>
  <c r="C36" i="12"/>
  <c r="B36" i="12"/>
  <c r="C35" i="12"/>
  <c r="B35" i="12"/>
  <c r="C34" i="12"/>
  <c r="B34" i="12"/>
  <c r="C33" i="12"/>
  <c r="B33" i="12"/>
  <c r="C32" i="12"/>
  <c r="B32" i="12"/>
  <c r="C31" i="12"/>
  <c r="B31" i="12"/>
  <c r="C30" i="12"/>
  <c r="B30" i="12"/>
  <c r="C29" i="12"/>
  <c r="B29" i="12"/>
  <c r="C28" i="12"/>
  <c r="B28" i="12"/>
  <c r="C27" i="12"/>
  <c r="B27" i="12"/>
  <c r="C26" i="12"/>
  <c r="B26" i="12"/>
  <c r="C25" i="12"/>
  <c r="B25" i="12"/>
  <c r="C24" i="12"/>
  <c r="B24" i="12"/>
  <c r="C23" i="12"/>
  <c r="B23" i="12"/>
  <c r="C22" i="12"/>
  <c r="B22" i="12"/>
  <c r="C21" i="12"/>
  <c r="B21" i="12"/>
  <c r="C20" i="12"/>
  <c r="B20" i="12"/>
  <c r="C19" i="12"/>
  <c r="B19" i="12"/>
  <c r="C18" i="12"/>
  <c r="B18" i="12"/>
  <c r="C17" i="12"/>
  <c r="B17" i="12"/>
  <c r="C16" i="12"/>
  <c r="B16" i="12"/>
  <c r="C15" i="12"/>
  <c r="B15" i="12"/>
  <c r="C14" i="12"/>
  <c r="B14" i="12"/>
  <c r="C13" i="12"/>
  <c r="B13" i="12"/>
  <c r="C12" i="12"/>
  <c r="B12" i="12"/>
  <c r="C11" i="12"/>
  <c r="B11" i="12"/>
  <c r="C10" i="12"/>
  <c r="B10" i="12"/>
  <c r="C9" i="12"/>
  <c r="B9" i="12"/>
  <c r="C8" i="12"/>
  <c r="B8" i="12"/>
  <c r="C7" i="12"/>
  <c r="B7" i="12"/>
  <c r="C6" i="12"/>
  <c r="B6" i="12"/>
  <c r="C5" i="12"/>
  <c r="B5" i="12"/>
  <c r="C4" i="12"/>
  <c r="B4" i="12"/>
  <c r="A2" i="12"/>
  <c r="AH2" i="12" s="1"/>
  <c r="X1" i="11"/>
  <c r="H1" i="11"/>
  <c r="C208" i="11"/>
  <c r="B208" i="11"/>
  <c r="C207" i="11"/>
  <c r="B207" i="11"/>
  <c r="C206" i="11"/>
  <c r="B206" i="11"/>
  <c r="C205" i="11"/>
  <c r="B205" i="11"/>
  <c r="C204" i="11"/>
  <c r="B204" i="11"/>
  <c r="C203" i="11"/>
  <c r="B203" i="11"/>
  <c r="C202" i="11"/>
  <c r="B202" i="11"/>
  <c r="C201" i="11"/>
  <c r="B201" i="11"/>
  <c r="C200" i="11"/>
  <c r="B200" i="11"/>
  <c r="C199" i="11"/>
  <c r="B199" i="11"/>
  <c r="C198" i="11"/>
  <c r="B198" i="11"/>
  <c r="C197" i="11"/>
  <c r="B197" i="11"/>
  <c r="C196" i="11"/>
  <c r="B196" i="11"/>
  <c r="C195" i="11"/>
  <c r="B195" i="11"/>
  <c r="C194" i="11"/>
  <c r="B194" i="11"/>
  <c r="C193" i="11"/>
  <c r="B193" i="11"/>
  <c r="C192" i="11"/>
  <c r="B192" i="11"/>
  <c r="C191" i="11"/>
  <c r="B191" i="11"/>
  <c r="C190" i="11"/>
  <c r="B190" i="11"/>
  <c r="C189" i="11"/>
  <c r="B189" i="11"/>
  <c r="C188" i="11"/>
  <c r="B188" i="11"/>
  <c r="C187" i="11"/>
  <c r="B187" i="11"/>
  <c r="C186" i="11"/>
  <c r="B186" i="11"/>
  <c r="C185" i="11"/>
  <c r="B185" i="11"/>
  <c r="C184" i="11"/>
  <c r="B184" i="11"/>
  <c r="C183" i="11"/>
  <c r="B183" i="11"/>
  <c r="C182" i="11"/>
  <c r="B182" i="11"/>
  <c r="C181" i="11"/>
  <c r="B181" i="11"/>
  <c r="C180" i="11"/>
  <c r="B180" i="11"/>
  <c r="C179" i="11"/>
  <c r="B179" i="11"/>
  <c r="C178" i="11"/>
  <c r="B178" i="11"/>
  <c r="C177" i="11"/>
  <c r="B177" i="11"/>
  <c r="C176" i="11"/>
  <c r="B176" i="11"/>
  <c r="C175" i="11"/>
  <c r="B175" i="11"/>
  <c r="C174" i="11"/>
  <c r="B174" i="11"/>
  <c r="C173" i="11"/>
  <c r="B173" i="11"/>
  <c r="C172" i="11"/>
  <c r="B172" i="11"/>
  <c r="C171" i="11"/>
  <c r="B171" i="11"/>
  <c r="C170" i="11"/>
  <c r="B170" i="11"/>
  <c r="C169" i="11"/>
  <c r="B169" i="11"/>
  <c r="C168" i="11"/>
  <c r="B168" i="11"/>
  <c r="C167" i="11"/>
  <c r="B167" i="11"/>
  <c r="C166" i="11"/>
  <c r="B166" i="11"/>
  <c r="C165" i="11"/>
  <c r="B165" i="11"/>
  <c r="C164" i="11"/>
  <c r="B164" i="11"/>
  <c r="C163" i="11"/>
  <c r="B163" i="11"/>
  <c r="C162" i="11"/>
  <c r="B162" i="11"/>
  <c r="C161" i="11"/>
  <c r="B161" i="11"/>
  <c r="C160" i="11"/>
  <c r="B160" i="11"/>
  <c r="C159" i="11"/>
  <c r="B159" i="11"/>
  <c r="C158" i="11"/>
  <c r="B158" i="11"/>
  <c r="C157" i="11"/>
  <c r="B157" i="11"/>
  <c r="C156" i="11"/>
  <c r="B156" i="11"/>
  <c r="C155" i="11"/>
  <c r="B155" i="11"/>
  <c r="C154" i="11"/>
  <c r="B154" i="11"/>
  <c r="C153" i="11"/>
  <c r="B153" i="11"/>
  <c r="C152" i="11"/>
  <c r="B152" i="11"/>
  <c r="C151" i="11"/>
  <c r="B151" i="11"/>
  <c r="C150" i="11"/>
  <c r="B150" i="11"/>
  <c r="C149" i="11"/>
  <c r="B149" i="11"/>
  <c r="C148" i="11"/>
  <c r="B148" i="11"/>
  <c r="C147" i="11"/>
  <c r="B147" i="11"/>
  <c r="C146" i="11"/>
  <c r="B146" i="11"/>
  <c r="C145" i="11"/>
  <c r="B145" i="11"/>
  <c r="C144" i="11"/>
  <c r="B144" i="11"/>
  <c r="C143" i="11"/>
  <c r="B143" i="11"/>
  <c r="C142" i="11"/>
  <c r="B142" i="11"/>
  <c r="C141" i="11"/>
  <c r="B141" i="11"/>
  <c r="C140" i="11"/>
  <c r="B140" i="11"/>
  <c r="C139" i="11"/>
  <c r="B139" i="11"/>
  <c r="C138" i="11"/>
  <c r="B138" i="11"/>
  <c r="C137" i="11"/>
  <c r="B137" i="11"/>
  <c r="C136" i="11"/>
  <c r="B136" i="11"/>
  <c r="C135" i="11"/>
  <c r="B135" i="11"/>
  <c r="C134" i="11"/>
  <c r="B134" i="11"/>
  <c r="C133" i="11"/>
  <c r="B133" i="11"/>
  <c r="C132" i="11"/>
  <c r="B132" i="11"/>
  <c r="C131" i="11"/>
  <c r="B131" i="11"/>
  <c r="C130" i="11"/>
  <c r="B130" i="11"/>
  <c r="C129" i="11"/>
  <c r="B129" i="11"/>
  <c r="C128" i="11"/>
  <c r="B128" i="11"/>
  <c r="C127" i="11"/>
  <c r="B127" i="11"/>
  <c r="C126" i="11"/>
  <c r="B126" i="11"/>
  <c r="C125" i="11"/>
  <c r="B125" i="11"/>
  <c r="C124" i="11"/>
  <c r="B124" i="11"/>
  <c r="C123" i="11"/>
  <c r="B123" i="11"/>
  <c r="C122" i="11"/>
  <c r="B122" i="11"/>
  <c r="C121" i="11"/>
  <c r="B121" i="11"/>
  <c r="C120" i="11"/>
  <c r="B120" i="11"/>
  <c r="C119" i="11"/>
  <c r="B119" i="11"/>
  <c r="C118" i="11"/>
  <c r="B118" i="11"/>
  <c r="C117" i="11"/>
  <c r="B117" i="11"/>
  <c r="C116" i="11"/>
  <c r="B116" i="11"/>
  <c r="C115" i="11"/>
  <c r="B115" i="11"/>
  <c r="C114" i="11"/>
  <c r="B114" i="11"/>
  <c r="C113" i="11"/>
  <c r="B113" i="11"/>
  <c r="C112" i="11"/>
  <c r="B112" i="11"/>
  <c r="C111" i="11"/>
  <c r="B111" i="11"/>
  <c r="C110" i="11"/>
  <c r="B110" i="11"/>
  <c r="C109" i="11"/>
  <c r="B109" i="11"/>
  <c r="C108" i="11"/>
  <c r="B108" i="11"/>
  <c r="C107" i="11"/>
  <c r="B107" i="11"/>
  <c r="C106" i="11"/>
  <c r="B106" i="11"/>
  <c r="C105" i="11"/>
  <c r="B105" i="11"/>
  <c r="C104" i="11"/>
  <c r="B104" i="11"/>
  <c r="C103" i="11"/>
  <c r="B103" i="11"/>
  <c r="C102" i="11"/>
  <c r="B102" i="11"/>
  <c r="C101" i="11"/>
  <c r="B101" i="11"/>
  <c r="C100" i="11"/>
  <c r="B100" i="11"/>
  <c r="C99" i="11"/>
  <c r="B99" i="11"/>
  <c r="C98" i="11"/>
  <c r="B98" i="11"/>
  <c r="C97" i="11"/>
  <c r="B97" i="11"/>
  <c r="C96" i="11"/>
  <c r="B96" i="11"/>
  <c r="C95" i="11"/>
  <c r="B95" i="11"/>
  <c r="C94" i="11"/>
  <c r="B94" i="11"/>
  <c r="C93" i="11"/>
  <c r="B93" i="11"/>
  <c r="C92" i="11"/>
  <c r="B92" i="11"/>
  <c r="C91" i="11"/>
  <c r="B91" i="11"/>
  <c r="C90" i="11"/>
  <c r="B90" i="11"/>
  <c r="C89" i="11"/>
  <c r="B89" i="11"/>
  <c r="C88" i="11"/>
  <c r="B88" i="11"/>
  <c r="C87" i="11"/>
  <c r="B87" i="11"/>
  <c r="C86" i="11"/>
  <c r="B86" i="11"/>
  <c r="C85" i="11"/>
  <c r="B85" i="11"/>
  <c r="C84" i="11"/>
  <c r="B84" i="11"/>
  <c r="C83" i="11"/>
  <c r="B83" i="11"/>
  <c r="C82" i="11"/>
  <c r="B82" i="11"/>
  <c r="C81" i="11"/>
  <c r="B81" i="11"/>
  <c r="C80" i="11"/>
  <c r="B80" i="11"/>
  <c r="C79" i="11"/>
  <c r="B79" i="11"/>
  <c r="C78" i="11"/>
  <c r="B78" i="11"/>
  <c r="C77" i="11"/>
  <c r="B77" i="11"/>
  <c r="C76" i="11"/>
  <c r="B76" i="11"/>
  <c r="C75" i="11"/>
  <c r="B75" i="11"/>
  <c r="C74" i="11"/>
  <c r="B74" i="11"/>
  <c r="C73" i="11"/>
  <c r="B73" i="11"/>
  <c r="C72" i="11"/>
  <c r="B72" i="11"/>
  <c r="C71" i="11"/>
  <c r="B71" i="11"/>
  <c r="C70" i="11"/>
  <c r="B70" i="11"/>
  <c r="C69" i="11"/>
  <c r="B69" i="11"/>
  <c r="C68" i="11"/>
  <c r="B68" i="11"/>
  <c r="C67" i="11"/>
  <c r="B67" i="11"/>
  <c r="C66" i="11"/>
  <c r="B66" i="11"/>
  <c r="C65" i="11"/>
  <c r="B65" i="11"/>
  <c r="C64" i="11"/>
  <c r="B64" i="11"/>
  <c r="C63" i="11"/>
  <c r="B63" i="11"/>
  <c r="C62" i="11"/>
  <c r="B62" i="11"/>
  <c r="C61" i="11"/>
  <c r="B61" i="11"/>
  <c r="C60" i="11"/>
  <c r="B60" i="11"/>
  <c r="C59" i="11"/>
  <c r="B59" i="11"/>
  <c r="C58" i="11"/>
  <c r="B58" i="11"/>
  <c r="C57" i="11"/>
  <c r="B57" i="11"/>
  <c r="C56" i="11"/>
  <c r="B56" i="11"/>
  <c r="C55" i="11"/>
  <c r="B55" i="11"/>
  <c r="C54" i="11"/>
  <c r="B54" i="11"/>
  <c r="C53" i="11"/>
  <c r="B53" i="11"/>
  <c r="C52" i="11"/>
  <c r="B52" i="11"/>
  <c r="C51" i="11"/>
  <c r="B51" i="11"/>
  <c r="C50" i="11"/>
  <c r="B50" i="11"/>
  <c r="C49" i="11"/>
  <c r="B49" i="11"/>
  <c r="C48" i="11"/>
  <c r="B48" i="11"/>
  <c r="C47" i="11"/>
  <c r="B47" i="11"/>
  <c r="C46" i="11"/>
  <c r="B46" i="11"/>
  <c r="C45" i="11"/>
  <c r="B45" i="11"/>
  <c r="C44" i="11"/>
  <c r="B44" i="11"/>
  <c r="C43" i="11"/>
  <c r="B43" i="11"/>
  <c r="C42" i="11"/>
  <c r="B42" i="11"/>
  <c r="C41" i="11"/>
  <c r="B41" i="11"/>
  <c r="C40" i="11"/>
  <c r="B40" i="11"/>
  <c r="C39" i="11"/>
  <c r="B39" i="11"/>
  <c r="C38" i="11"/>
  <c r="B38" i="11"/>
  <c r="C37" i="11"/>
  <c r="B37" i="11"/>
  <c r="C36" i="11"/>
  <c r="B36" i="11"/>
  <c r="C35" i="11"/>
  <c r="B35" i="11"/>
  <c r="C34" i="11"/>
  <c r="B34" i="11"/>
  <c r="C33" i="11"/>
  <c r="B33" i="11"/>
  <c r="C32" i="11"/>
  <c r="B32" i="11"/>
  <c r="C31" i="11"/>
  <c r="B31" i="11"/>
  <c r="C30" i="11"/>
  <c r="B30" i="11"/>
  <c r="C29" i="11"/>
  <c r="B29" i="11"/>
  <c r="C28" i="11"/>
  <c r="B28" i="11"/>
  <c r="C27" i="11"/>
  <c r="B27" i="11"/>
  <c r="C26" i="11"/>
  <c r="B26" i="11"/>
  <c r="C25" i="11"/>
  <c r="B25" i="11"/>
  <c r="C24" i="11"/>
  <c r="B24" i="11"/>
  <c r="C23" i="11"/>
  <c r="B23" i="11"/>
  <c r="C22" i="11"/>
  <c r="B22" i="11"/>
  <c r="C21" i="11"/>
  <c r="B21" i="11"/>
  <c r="C20" i="11"/>
  <c r="B20" i="11"/>
  <c r="C19" i="11"/>
  <c r="B19" i="11"/>
  <c r="C18" i="11"/>
  <c r="B18" i="11"/>
  <c r="C17" i="11"/>
  <c r="B17" i="11"/>
  <c r="C16" i="11"/>
  <c r="B16" i="11"/>
  <c r="C15" i="11"/>
  <c r="B15" i="11"/>
  <c r="C14" i="11"/>
  <c r="B14" i="11"/>
  <c r="C13" i="11"/>
  <c r="B13" i="11"/>
  <c r="C12" i="11"/>
  <c r="B12" i="11"/>
  <c r="C11" i="11"/>
  <c r="B11" i="11"/>
  <c r="C10" i="11"/>
  <c r="B10" i="11"/>
  <c r="C9" i="11"/>
  <c r="B9" i="11"/>
  <c r="C8" i="11"/>
  <c r="B8" i="11"/>
  <c r="C7" i="11"/>
  <c r="B7" i="11"/>
  <c r="C6" i="11"/>
  <c r="B6" i="11"/>
  <c r="C5" i="11"/>
  <c r="B5" i="11"/>
  <c r="C4" i="11"/>
  <c r="B4" i="11"/>
  <c r="A2" i="11"/>
  <c r="AH1" i="11" s="1"/>
  <c r="AC1" i="10"/>
  <c r="U1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C185" i="10"/>
  <c r="B185" i="10"/>
  <c r="C184" i="10"/>
  <c r="B184" i="10"/>
  <c r="C183" i="10"/>
  <c r="B183" i="10"/>
  <c r="C182" i="10"/>
  <c r="B182" i="10"/>
  <c r="C181" i="10"/>
  <c r="B181" i="10"/>
  <c r="C180" i="10"/>
  <c r="B180" i="10"/>
  <c r="C179" i="10"/>
  <c r="B179" i="10"/>
  <c r="C178" i="10"/>
  <c r="B178" i="10"/>
  <c r="C177" i="10"/>
  <c r="B177" i="10"/>
  <c r="C176" i="10"/>
  <c r="B176" i="10"/>
  <c r="C175" i="10"/>
  <c r="B175" i="10"/>
  <c r="C174" i="10"/>
  <c r="B174" i="10"/>
  <c r="C173" i="10"/>
  <c r="B173" i="10"/>
  <c r="C172" i="10"/>
  <c r="B172" i="10"/>
  <c r="C171" i="10"/>
  <c r="B171" i="10"/>
  <c r="C170" i="10"/>
  <c r="B170" i="10"/>
  <c r="C169" i="10"/>
  <c r="B169" i="10"/>
  <c r="C168" i="10"/>
  <c r="B168" i="10"/>
  <c r="C167" i="10"/>
  <c r="B167" i="10"/>
  <c r="C166" i="10"/>
  <c r="B166" i="10"/>
  <c r="C165" i="10"/>
  <c r="B165" i="10"/>
  <c r="C164" i="10"/>
  <c r="B164" i="10"/>
  <c r="C163" i="10"/>
  <c r="B163" i="10"/>
  <c r="C162" i="10"/>
  <c r="B162" i="10"/>
  <c r="C161" i="10"/>
  <c r="B161" i="10"/>
  <c r="C160" i="10"/>
  <c r="B160" i="10"/>
  <c r="C159" i="10"/>
  <c r="B159" i="10"/>
  <c r="C158" i="10"/>
  <c r="B158" i="10"/>
  <c r="C157" i="10"/>
  <c r="B157" i="10"/>
  <c r="C156" i="10"/>
  <c r="B156" i="10"/>
  <c r="C155" i="10"/>
  <c r="B155" i="10"/>
  <c r="C154" i="10"/>
  <c r="B154" i="10"/>
  <c r="C153" i="10"/>
  <c r="B153" i="10"/>
  <c r="C152" i="10"/>
  <c r="B152" i="10"/>
  <c r="C151" i="10"/>
  <c r="B151" i="10"/>
  <c r="C150" i="10"/>
  <c r="B150" i="10"/>
  <c r="C149" i="10"/>
  <c r="B149" i="10"/>
  <c r="C148" i="10"/>
  <c r="B148" i="10"/>
  <c r="C147" i="10"/>
  <c r="B147" i="10"/>
  <c r="C146" i="10"/>
  <c r="B146" i="10"/>
  <c r="C145" i="10"/>
  <c r="B145" i="10"/>
  <c r="C144" i="10"/>
  <c r="B144" i="10"/>
  <c r="C143" i="10"/>
  <c r="B143" i="10"/>
  <c r="C142" i="10"/>
  <c r="B142" i="10"/>
  <c r="C141" i="10"/>
  <c r="B141" i="10"/>
  <c r="C140" i="10"/>
  <c r="B140" i="10"/>
  <c r="C139" i="10"/>
  <c r="B139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C129" i="10"/>
  <c r="B129" i="10"/>
  <c r="C128" i="10"/>
  <c r="B128" i="10"/>
  <c r="C127" i="10"/>
  <c r="B127" i="10"/>
  <c r="C126" i="10"/>
  <c r="B126" i="10"/>
  <c r="C125" i="10"/>
  <c r="B125" i="10"/>
  <c r="C124" i="10"/>
  <c r="B124" i="10"/>
  <c r="C123" i="10"/>
  <c r="B123" i="10"/>
  <c r="C122" i="10"/>
  <c r="B122" i="10"/>
  <c r="C121" i="10"/>
  <c r="B121" i="10"/>
  <c r="C120" i="10"/>
  <c r="B120" i="10"/>
  <c r="C119" i="10"/>
  <c r="B119" i="10"/>
  <c r="C118" i="10"/>
  <c r="B118" i="10"/>
  <c r="C117" i="10"/>
  <c r="B117" i="10"/>
  <c r="C116" i="10"/>
  <c r="B116" i="10"/>
  <c r="C115" i="10"/>
  <c r="B115" i="10"/>
  <c r="C114" i="10"/>
  <c r="B114" i="10"/>
  <c r="C113" i="10"/>
  <c r="B113" i="10"/>
  <c r="C112" i="10"/>
  <c r="B112" i="10"/>
  <c r="C111" i="10"/>
  <c r="B111" i="10"/>
  <c r="C110" i="10"/>
  <c r="B110" i="10"/>
  <c r="C109" i="10"/>
  <c r="B109" i="10"/>
  <c r="C108" i="10"/>
  <c r="B108" i="10"/>
  <c r="C107" i="10"/>
  <c r="B107" i="10"/>
  <c r="C106" i="10"/>
  <c r="B106" i="10"/>
  <c r="C105" i="10"/>
  <c r="B105" i="10"/>
  <c r="C104" i="10"/>
  <c r="B104" i="10"/>
  <c r="C103" i="10"/>
  <c r="B103" i="10"/>
  <c r="C102" i="10"/>
  <c r="B102" i="10"/>
  <c r="C101" i="10"/>
  <c r="B101" i="10"/>
  <c r="C100" i="10"/>
  <c r="B100" i="10"/>
  <c r="C99" i="10"/>
  <c r="B99" i="10"/>
  <c r="C98" i="10"/>
  <c r="B98" i="10"/>
  <c r="C97" i="10"/>
  <c r="B97" i="10"/>
  <c r="C96" i="10"/>
  <c r="B96" i="10"/>
  <c r="C95" i="10"/>
  <c r="B95" i="10"/>
  <c r="C94" i="10"/>
  <c r="B94" i="10"/>
  <c r="C93" i="10"/>
  <c r="B93" i="10"/>
  <c r="C92" i="10"/>
  <c r="B92" i="10"/>
  <c r="C91" i="10"/>
  <c r="B91" i="10"/>
  <c r="C90" i="10"/>
  <c r="B90" i="10"/>
  <c r="C89" i="10"/>
  <c r="B89" i="10"/>
  <c r="C88" i="10"/>
  <c r="B88" i="10"/>
  <c r="C87" i="10"/>
  <c r="B87" i="10"/>
  <c r="C86" i="10"/>
  <c r="B86" i="10"/>
  <c r="C85" i="10"/>
  <c r="B85" i="10"/>
  <c r="C84" i="10"/>
  <c r="B84" i="10"/>
  <c r="C83" i="10"/>
  <c r="B83" i="10"/>
  <c r="C82" i="10"/>
  <c r="B82" i="10"/>
  <c r="C81" i="10"/>
  <c r="B81" i="10"/>
  <c r="C80" i="10"/>
  <c r="B80" i="10"/>
  <c r="C79" i="10"/>
  <c r="B79" i="10"/>
  <c r="C78" i="10"/>
  <c r="B78" i="10"/>
  <c r="C77" i="10"/>
  <c r="B77" i="10"/>
  <c r="C76" i="10"/>
  <c r="B76" i="10"/>
  <c r="C75" i="10"/>
  <c r="B75" i="10"/>
  <c r="C74" i="10"/>
  <c r="B74" i="10"/>
  <c r="C73" i="10"/>
  <c r="B73" i="10"/>
  <c r="C72" i="10"/>
  <c r="B72" i="10"/>
  <c r="C71" i="10"/>
  <c r="B71" i="10"/>
  <c r="C70" i="10"/>
  <c r="B70" i="10"/>
  <c r="C69" i="10"/>
  <c r="B69" i="10"/>
  <c r="C68" i="10"/>
  <c r="B68" i="10"/>
  <c r="C67" i="10"/>
  <c r="B67" i="10"/>
  <c r="C66" i="10"/>
  <c r="B66" i="10"/>
  <c r="C65" i="10"/>
  <c r="B65" i="10"/>
  <c r="C64" i="10"/>
  <c r="B64" i="10"/>
  <c r="C63" i="10"/>
  <c r="B63" i="10"/>
  <c r="C62" i="10"/>
  <c r="B62" i="10"/>
  <c r="C61" i="10"/>
  <c r="B61" i="10"/>
  <c r="C60" i="10"/>
  <c r="B60" i="10"/>
  <c r="C59" i="10"/>
  <c r="B59" i="10"/>
  <c r="C58" i="10"/>
  <c r="B58" i="10"/>
  <c r="C57" i="10"/>
  <c r="B57" i="10"/>
  <c r="C56" i="10"/>
  <c r="B56" i="10"/>
  <c r="C55" i="10"/>
  <c r="B55" i="10"/>
  <c r="C54" i="10"/>
  <c r="B54" i="10"/>
  <c r="C53" i="10"/>
  <c r="B53" i="10"/>
  <c r="C52" i="10"/>
  <c r="B52" i="10"/>
  <c r="C51" i="10"/>
  <c r="B51" i="10"/>
  <c r="C50" i="10"/>
  <c r="B50" i="10"/>
  <c r="C49" i="10"/>
  <c r="B49" i="10"/>
  <c r="C48" i="10"/>
  <c r="B48" i="10"/>
  <c r="C47" i="10"/>
  <c r="B47" i="10"/>
  <c r="C46" i="10"/>
  <c r="B46" i="10"/>
  <c r="C45" i="10"/>
  <c r="B45" i="10"/>
  <c r="C44" i="10"/>
  <c r="B44" i="10"/>
  <c r="C43" i="10"/>
  <c r="B43" i="10"/>
  <c r="C42" i="10"/>
  <c r="B42" i="10"/>
  <c r="C41" i="10"/>
  <c r="B41" i="10"/>
  <c r="C40" i="10"/>
  <c r="B40" i="10"/>
  <c r="C39" i="10"/>
  <c r="B39" i="10"/>
  <c r="C38" i="10"/>
  <c r="B38" i="10"/>
  <c r="C37" i="10"/>
  <c r="B37" i="10"/>
  <c r="C36" i="10"/>
  <c r="B36" i="10"/>
  <c r="C35" i="10"/>
  <c r="B35" i="10"/>
  <c r="C34" i="10"/>
  <c r="B34" i="10"/>
  <c r="C33" i="10"/>
  <c r="B33" i="10"/>
  <c r="C32" i="10"/>
  <c r="B32" i="10"/>
  <c r="C31" i="10"/>
  <c r="B31" i="10"/>
  <c r="C30" i="10"/>
  <c r="B30" i="10"/>
  <c r="C29" i="10"/>
  <c r="B29" i="10"/>
  <c r="C28" i="10"/>
  <c r="B28" i="10"/>
  <c r="C27" i="10"/>
  <c r="B27" i="10"/>
  <c r="C26" i="10"/>
  <c r="B26" i="10"/>
  <c r="C25" i="10"/>
  <c r="B25" i="10"/>
  <c r="C24" i="10"/>
  <c r="B24" i="10"/>
  <c r="C23" i="10"/>
  <c r="B23" i="10"/>
  <c r="C22" i="10"/>
  <c r="B22" i="10"/>
  <c r="C21" i="10"/>
  <c r="B21" i="10"/>
  <c r="C20" i="10"/>
  <c r="B20" i="10"/>
  <c r="C19" i="10"/>
  <c r="B19" i="10"/>
  <c r="C18" i="10"/>
  <c r="B18" i="10"/>
  <c r="C17" i="10"/>
  <c r="B17" i="10"/>
  <c r="C16" i="10"/>
  <c r="B16" i="10"/>
  <c r="C15" i="10"/>
  <c r="B15" i="10"/>
  <c r="C14" i="10"/>
  <c r="B14" i="10"/>
  <c r="C13" i="10"/>
  <c r="B13" i="10"/>
  <c r="C12" i="10"/>
  <c r="B12" i="10"/>
  <c r="C11" i="10"/>
  <c r="B11" i="10"/>
  <c r="C10" i="10"/>
  <c r="B10" i="10"/>
  <c r="C9" i="10"/>
  <c r="B9" i="10"/>
  <c r="C8" i="10"/>
  <c r="B8" i="10"/>
  <c r="C7" i="10"/>
  <c r="B7" i="10"/>
  <c r="C6" i="10"/>
  <c r="B6" i="10"/>
  <c r="C5" i="10"/>
  <c r="B5" i="10"/>
  <c r="C4" i="10"/>
  <c r="B4" i="10"/>
  <c r="A2" i="10"/>
  <c r="AG1" i="10" s="1"/>
  <c r="AH1" i="9"/>
  <c r="C208" i="9"/>
  <c r="B208" i="9"/>
  <c r="C207" i="9"/>
  <c r="B207" i="9"/>
  <c r="C206" i="9"/>
  <c r="B206" i="9"/>
  <c r="C205" i="9"/>
  <c r="B205" i="9"/>
  <c r="C204" i="9"/>
  <c r="B204" i="9"/>
  <c r="C203" i="9"/>
  <c r="B203" i="9"/>
  <c r="C202" i="9"/>
  <c r="B202" i="9"/>
  <c r="C201" i="9"/>
  <c r="B201" i="9"/>
  <c r="C200" i="9"/>
  <c r="B200" i="9"/>
  <c r="C199" i="9"/>
  <c r="B199" i="9"/>
  <c r="C198" i="9"/>
  <c r="B198" i="9"/>
  <c r="C197" i="9"/>
  <c r="B197" i="9"/>
  <c r="C196" i="9"/>
  <c r="B196" i="9"/>
  <c r="C195" i="9"/>
  <c r="B195" i="9"/>
  <c r="C194" i="9"/>
  <c r="B194" i="9"/>
  <c r="C193" i="9"/>
  <c r="B193" i="9"/>
  <c r="C192" i="9"/>
  <c r="B192" i="9"/>
  <c r="C191" i="9"/>
  <c r="B191" i="9"/>
  <c r="C190" i="9"/>
  <c r="B190" i="9"/>
  <c r="C189" i="9"/>
  <c r="B189" i="9"/>
  <c r="C188" i="9"/>
  <c r="B188" i="9"/>
  <c r="C187" i="9"/>
  <c r="B187" i="9"/>
  <c r="C186" i="9"/>
  <c r="B186" i="9"/>
  <c r="C185" i="9"/>
  <c r="B185" i="9"/>
  <c r="C184" i="9"/>
  <c r="B184" i="9"/>
  <c r="C183" i="9"/>
  <c r="B183" i="9"/>
  <c r="C182" i="9"/>
  <c r="B182" i="9"/>
  <c r="C181" i="9"/>
  <c r="B181" i="9"/>
  <c r="C180" i="9"/>
  <c r="B180" i="9"/>
  <c r="C179" i="9"/>
  <c r="B179" i="9"/>
  <c r="C178" i="9"/>
  <c r="B178" i="9"/>
  <c r="C177" i="9"/>
  <c r="B177" i="9"/>
  <c r="C176" i="9"/>
  <c r="B176" i="9"/>
  <c r="C175" i="9"/>
  <c r="B175" i="9"/>
  <c r="C174" i="9"/>
  <c r="B174" i="9"/>
  <c r="C173" i="9"/>
  <c r="B173" i="9"/>
  <c r="C172" i="9"/>
  <c r="B172" i="9"/>
  <c r="C171" i="9"/>
  <c r="B171" i="9"/>
  <c r="C170" i="9"/>
  <c r="B170" i="9"/>
  <c r="C169" i="9"/>
  <c r="B169" i="9"/>
  <c r="C168" i="9"/>
  <c r="B168" i="9"/>
  <c r="C167" i="9"/>
  <c r="B167" i="9"/>
  <c r="C166" i="9"/>
  <c r="B166" i="9"/>
  <c r="C165" i="9"/>
  <c r="B165" i="9"/>
  <c r="C164" i="9"/>
  <c r="B164" i="9"/>
  <c r="C163" i="9"/>
  <c r="B163" i="9"/>
  <c r="C162" i="9"/>
  <c r="B162" i="9"/>
  <c r="C161" i="9"/>
  <c r="B161" i="9"/>
  <c r="C160" i="9"/>
  <c r="B160" i="9"/>
  <c r="C159" i="9"/>
  <c r="B159" i="9"/>
  <c r="C158" i="9"/>
  <c r="B158" i="9"/>
  <c r="C157" i="9"/>
  <c r="B157" i="9"/>
  <c r="C156" i="9"/>
  <c r="B156" i="9"/>
  <c r="C155" i="9"/>
  <c r="B155" i="9"/>
  <c r="C154" i="9"/>
  <c r="B154" i="9"/>
  <c r="C153" i="9"/>
  <c r="B153" i="9"/>
  <c r="C152" i="9"/>
  <c r="B152" i="9"/>
  <c r="C151" i="9"/>
  <c r="B151" i="9"/>
  <c r="C150" i="9"/>
  <c r="B150" i="9"/>
  <c r="C149" i="9"/>
  <c r="B149" i="9"/>
  <c r="C148" i="9"/>
  <c r="B148" i="9"/>
  <c r="C147" i="9"/>
  <c r="B147" i="9"/>
  <c r="C146" i="9"/>
  <c r="B146" i="9"/>
  <c r="C145" i="9"/>
  <c r="B145" i="9"/>
  <c r="C144" i="9"/>
  <c r="B144" i="9"/>
  <c r="C143" i="9"/>
  <c r="B143" i="9"/>
  <c r="C142" i="9"/>
  <c r="B142" i="9"/>
  <c r="C141" i="9"/>
  <c r="B141" i="9"/>
  <c r="C140" i="9"/>
  <c r="B140" i="9"/>
  <c r="C139" i="9"/>
  <c r="B139" i="9"/>
  <c r="C138" i="9"/>
  <c r="B138" i="9"/>
  <c r="C137" i="9"/>
  <c r="B137" i="9"/>
  <c r="C136" i="9"/>
  <c r="B136" i="9"/>
  <c r="C135" i="9"/>
  <c r="B135" i="9"/>
  <c r="C134" i="9"/>
  <c r="B134" i="9"/>
  <c r="C133" i="9"/>
  <c r="B133" i="9"/>
  <c r="C132" i="9"/>
  <c r="B132" i="9"/>
  <c r="C131" i="9"/>
  <c r="B131" i="9"/>
  <c r="C130" i="9"/>
  <c r="B130" i="9"/>
  <c r="C129" i="9"/>
  <c r="B129" i="9"/>
  <c r="C128" i="9"/>
  <c r="B128" i="9"/>
  <c r="C127" i="9"/>
  <c r="B127" i="9"/>
  <c r="C126" i="9"/>
  <c r="B126" i="9"/>
  <c r="C125" i="9"/>
  <c r="B125" i="9"/>
  <c r="C124" i="9"/>
  <c r="B124" i="9"/>
  <c r="C123" i="9"/>
  <c r="B123" i="9"/>
  <c r="C122" i="9"/>
  <c r="B122" i="9"/>
  <c r="C121" i="9"/>
  <c r="B121" i="9"/>
  <c r="C120" i="9"/>
  <c r="B120" i="9"/>
  <c r="C119" i="9"/>
  <c r="B119" i="9"/>
  <c r="C118" i="9"/>
  <c r="B118" i="9"/>
  <c r="C117" i="9"/>
  <c r="B117" i="9"/>
  <c r="C116" i="9"/>
  <c r="B116" i="9"/>
  <c r="C115" i="9"/>
  <c r="B115" i="9"/>
  <c r="C114" i="9"/>
  <c r="B114" i="9"/>
  <c r="C113" i="9"/>
  <c r="B113" i="9"/>
  <c r="C112" i="9"/>
  <c r="B112" i="9"/>
  <c r="C111" i="9"/>
  <c r="B111" i="9"/>
  <c r="C110" i="9"/>
  <c r="B110" i="9"/>
  <c r="C109" i="9"/>
  <c r="B109" i="9"/>
  <c r="C108" i="9"/>
  <c r="B108" i="9"/>
  <c r="C107" i="9"/>
  <c r="B107" i="9"/>
  <c r="C106" i="9"/>
  <c r="B106" i="9"/>
  <c r="C105" i="9"/>
  <c r="B105" i="9"/>
  <c r="C104" i="9"/>
  <c r="B104" i="9"/>
  <c r="C103" i="9"/>
  <c r="B103" i="9"/>
  <c r="C102" i="9"/>
  <c r="B102" i="9"/>
  <c r="C101" i="9"/>
  <c r="B101" i="9"/>
  <c r="C100" i="9"/>
  <c r="B100" i="9"/>
  <c r="C99" i="9"/>
  <c r="B99" i="9"/>
  <c r="C98" i="9"/>
  <c r="B98" i="9"/>
  <c r="C97" i="9"/>
  <c r="B97" i="9"/>
  <c r="C96" i="9"/>
  <c r="B96" i="9"/>
  <c r="C95" i="9"/>
  <c r="B95" i="9"/>
  <c r="C94" i="9"/>
  <c r="B94" i="9"/>
  <c r="C93" i="9"/>
  <c r="B93" i="9"/>
  <c r="C92" i="9"/>
  <c r="B92" i="9"/>
  <c r="C91" i="9"/>
  <c r="B91" i="9"/>
  <c r="C90" i="9"/>
  <c r="B90" i="9"/>
  <c r="C89" i="9"/>
  <c r="B89" i="9"/>
  <c r="C88" i="9"/>
  <c r="B88" i="9"/>
  <c r="C87" i="9"/>
  <c r="B87" i="9"/>
  <c r="C86" i="9"/>
  <c r="B86" i="9"/>
  <c r="C85" i="9"/>
  <c r="B85" i="9"/>
  <c r="C84" i="9"/>
  <c r="B84" i="9"/>
  <c r="C83" i="9"/>
  <c r="B83" i="9"/>
  <c r="C82" i="9"/>
  <c r="B82" i="9"/>
  <c r="C81" i="9"/>
  <c r="B81" i="9"/>
  <c r="C80" i="9"/>
  <c r="B80" i="9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B73" i="9"/>
  <c r="C72" i="9"/>
  <c r="B72" i="9"/>
  <c r="C71" i="9"/>
  <c r="B71" i="9"/>
  <c r="C70" i="9"/>
  <c r="B70" i="9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C6" i="9"/>
  <c r="B6" i="9"/>
  <c r="C5" i="9"/>
  <c r="B5" i="9"/>
  <c r="C4" i="9"/>
  <c r="B4" i="9"/>
  <c r="A2" i="9"/>
  <c r="AB1" i="9" s="1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A2" i="8"/>
  <c r="AE1" i="8" s="1"/>
  <c r="AE2" i="8" s="1"/>
  <c r="AH1" i="7"/>
  <c r="C208" i="7"/>
  <c r="B208" i="7"/>
  <c r="C207" i="7"/>
  <c r="B207" i="7"/>
  <c r="C206" i="7"/>
  <c r="B206" i="7"/>
  <c r="C205" i="7"/>
  <c r="B205" i="7"/>
  <c r="C204" i="7"/>
  <c r="B204" i="7"/>
  <c r="C203" i="7"/>
  <c r="B203" i="7"/>
  <c r="C202" i="7"/>
  <c r="B202" i="7"/>
  <c r="C201" i="7"/>
  <c r="B201" i="7"/>
  <c r="C200" i="7"/>
  <c r="B200" i="7"/>
  <c r="C199" i="7"/>
  <c r="B199" i="7"/>
  <c r="C198" i="7"/>
  <c r="B198" i="7"/>
  <c r="C197" i="7"/>
  <c r="B197" i="7"/>
  <c r="C196" i="7"/>
  <c r="B196" i="7"/>
  <c r="C195" i="7"/>
  <c r="B195" i="7"/>
  <c r="C194" i="7"/>
  <c r="B194" i="7"/>
  <c r="C193" i="7"/>
  <c r="B193" i="7"/>
  <c r="C192" i="7"/>
  <c r="B192" i="7"/>
  <c r="C191" i="7"/>
  <c r="B191" i="7"/>
  <c r="C190" i="7"/>
  <c r="B190" i="7"/>
  <c r="C189" i="7"/>
  <c r="B189" i="7"/>
  <c r="C188" i="7"/>
  <c r="B188" i="7"/>
  <c r="C187" i="7"/>
  <c r="B187" i="7"/>
  <c r="C186" i="7"/>
  <c r="B186" i="7"/>
  <c r="C185" i="7"/>
  <c r="B185" i="7"/>
  <c r="C184" i="7"/>
  <c r="B184" i="7"/>
  <c r="C183" i="7"/>
  <c r="B183" i="7"/>
  <c r="C182" i="7"/>
  <c r="B182" i="7"/>
  <c r="C181" i="7"/>
  <c r="B181" i="7"/>
  <c r="C180" i="7"/>
  <c r="B180" i="7"/>
  <c r="C179" i="7"/>
  <c r="B179" i="7"/>
  <c r="C178" i="7"/>
  <c r="B178" i="7"/>
  <c r="C177" i="7"/>
  <c r="B177" i="7"/>
  <c r="C176" i="7"/>
  <c r="B176" i="7"/>
  <c r="C175" i="7"/>
  <c r="B175" i="7"/>
  <c r="C174" i="7"/>
  <c r="B174" i="7"/>
  <c r="C173" i="7"/>
  <c r="B173" i="7"/>
  <c r="C172" i="7"/>
  <c r="B172" i="7"/>
  <c r="C171" i="7"/>
  <c r="B171" i="7"/>
  <c r="C170" i="7"/>
  <c r="B170" i="7"/>
  <c r="C169" i="7"/>
  <c r="B169" i="7"/>
  <c r="C168" i="7"/>
  <c r="B168" i="7"/>
  <c r="C167" i="7"/>
  <c r="B167" i="7"/>
  <c r="C166" i="7"/>
  <c r="B166" i="7"/>
  <c r="C165" i="7"/>
  <c r="B165" i="7"/>
  <c r="C164" i="7"/>
  <c r="B164" i="7"/>
  <c r="C163" i="7"/>
  <c r="B163" i="7"/>
  <c r="C162" i="7"/>
  <c r="B162" i="7"/>
  <c r="C161" i="7"/>
  <c r="B161" i="7"/>
  <c r="C160" i="7"/>
  <c r="B160" i="7"/>
  <c r="C159" i="7"/>
  <c r="B159" i="7"/>
  <c r="C158" i="7"/>
  <c r="B158" i="7"/>
  <c r="C157" i="7"/>
  <c r="B157" i="7"/>
  <c r="C156" i="7"/>
  <c r="B156" i="7"/>
  <c r="C155" i="7"/>
  <c r="B155" i="7"/>
  <c r="C154" i="7"/>
  <c r="B154" i="7"/>
  <c r="C153" i="7"/>
  <c r="B153" i="7"/>
  <c r="C152" i="7"/>
  <c r="B152" i="7"/>
  <c r="C151" i="7"/>
  <c r="B151" i="7"/>
  <c r="C150" i="7"/>
  <c r="B150" i="7"/>
  <c r="C149" i="7"/>
  <c r="B149" i="7"/>
  <c r="C148" i="7"/>
  <c r="B148" i="7"/>
  <c r="C147" i="7"/>
  <c r="B147" i="7"/>
  <c r="C146" i="7"/>
  <c r="B146" i="7"/>
  <c r="C145" i="7"/>
  <c r="B145" i="7"/>
  <c r="C144" i="7"/>
  <c r="B144" i="7"/>
  <c r="C143" i="7"/>
  <c r="B143" i="7"/>
  <c r="C142" i="7"/>
  <c r="B142" i="7"/>
  <c r="C141" i="7"/>
  <c r="B141" i="7"/>
  <c r="C140" i="7"/>
  <c r="B140" i="7"/>
  <c r="C139" i="7"/>
  <c r="B139" i="7"/>
  <c r="C138" i="7"/>
  <c r="B138" i="7"/>
  <c r="C137" i="7"/>
  <c r="B137" i="7"/>
  <c r="C136" i="7"/>
  <c r="B136" i="7"/>
  <c r="C135" i="7"/>
  <c r="B135" i="7"/>
  <c r="C134" i="7"/>
  <c r="B134" i="7"/>
  <c r="C133" i="7"/>
  <c r="B133" i="7"/>
  <c r="C132" i="7"/>
  <c r="B132" i="7"/>
  <c r="C131" i="7"/>
  <c r="B131" i="7"/>
  <c r="C130" i="7"/>
  <c r="B130" i="7"/>
  <c r="C129" i="7"/>
  <c r="B129" i="7"/>
  <c r="C128" i="7"/>
  <c r="B128" i="7"/>
  <c r="C127" i="7"/>
  <c r="B127" i="7"/>
  <c r="C126" i="7"/>
  <c r="B126" i="7"/>
  <c r="C125" i="7"/>
  <c r="B125" i="7"/>
  <c r="C124" i="7"/>
  <c r="B124" i="7"/>
  <c r="C123" i="7"/>
  <c r="B123" i="7"/>
  <c r="C122" i="7"/>
  <c r="B122" i="7"/>
  <c r="C121" i="7"/>
  <c r="B121" i="7"/>
  <c r="C120" i="7"/>
  <c r="B120" i="7"/>
  <c r="C119" i="7"/>
  <c r="B119" i="7"/>
  <c r="C118" i="7"/>
  <c r="B118" i="7"/>
  <c r="C117" i="7"/>
  <c r="B117" i="7"/>
  <c r="C116" i="7"/>
  <c r="B116" i="7"/>
  <c r="C115" i="7"/>
  <c r="B115" i="7"/>
  <c r="C114" i="7"/>
  <c r="B114" i="7"/>
  <c r="C113" i="7"/>
  <c r="B113" i="7"/>
  <c r="C112" i="7"/>
  <c r="B112" i="7"/>
  <c r="C111" i="7"/>
  <c r="B111" i="7"/>
  <c r="C110" i="7"/>
  <c r="B110" i="7"/>
  <c r="C109" i="7"/>
  <c r="B109" i="7"/>
  <c r="C108" i="7"/>
  <c r="B108" i="7"/>
  <c r="C107" i="7"/>
  <c r="B107" i="7"/>
  <c r="C106" i="7"/>
  <c r="B106" i="7"/>
  <c r="C105" i="7"/>
  <c r="B105" i="7"/>
  <c r="C104" i="7"/>
  <c r="B104" i="7"/>
  <c r="C103" i="7"/>
  <c r="B103" i="7"/>
  <c r="C102" i="7"/>
  <c r="B102" i="7"/>
  <c r="C101" i="7"/>
  <c r="B101" i="7"/>
  <c r="C100" i="7"/>
  <c r="B100" i="7"/>
  <c r="C99" i="7"/>
  <c r="B99" i="7"/>
  <c r="C98" i="7"/>
  <c r="B98" i="7"/>
  <c r="C97" i="7"/>
  <c r="B97" i="7"/>
  <c r="C96" i="7"/>
  <c r="B96" i="7"/>
  <c r="C95" i="7"/>
  <c r="B95" i="7"/>
  <c r="C94" i="7"/>
  <c r="B94" i="7"/>
  <c r="C93" i="7"/>
  <c r="B93" i="7"/>
  <c r="C92" i="7"/>
  <c r="B92" i="7"/>
  <c r="C91" i="7"/>
  <c r="B91" i="7"/>
  <c r="C90" i="7"/>
  <c r="B90" i="7"/>
  <c r="C89" i="7"/>
  <c r="B89" i="7"/>
  <c r="C88" i="7"/>
  <c r="B88" i="7"/>
  <c r="C87" i="7"/>
  <c r="B87" i="7"/>
  <c r="C86" i="7"/>
  <c r="B86" i="7"/>
  <c r="C85" i="7"/>
  <c r="B85" i="7"/>
  <c r="C84" i="7"/>
  <c r="B84" i="7"/>
  <c r="C83" i="7"/>
  <c r="B83" i="7"/>
  <c r="C82" i="7"/>
  <c r="B82" i="7"/>
  <c r="C81" i="7"/>
  <c r="B81" i="7"/>
  <c r="C80" i="7"/>
  <c r="B80" i="7"/>
  <c r="C79" i="7"/>
  <c r="B79" i="7"/>
  <c r="C78" i="7"/>
  <c r="B78" i="7"/>
  <c r="C77" i="7"/>
  <c r="B77" i="7"/>
  <c r="C76" i="7"/>
  <c r="B76" i="7"/>
  <c r="C75" i="7"/>
  <c r="B75" i="7"/>
  <c r="C74" i="7"/>
  <c r="B74" i="7"/>
  <c r="C73" i="7"/>
  <c r="B73" i="7"/>
  <c r="C72" i="7"/>
  <c r="B72" i="7"/>
  <c r="C71" i="7"/>
  <c r="B71" i="7"/>
  <c r="C70" i="7"/>
  <c r="B70" i="7"/>
  <c r="C69" i="7"/>
  <c r="B69" i="7"/>
  <c r="C68" i="7"/>
  <c r="B68" i="7"/>
  <c r="C67" i="7"/>
  <c r="B67" i="7"/>
  <c r="C66" i="7"/>
  <c r="B66" i="7"/>
  <c r="C65" i="7"/>
  <c r="B65" i="7"/>
  <c r="C64" i="7"/>
  <c r="B64" i="7"/>
  <c r="C63" i="7"/>
  <c r="B63" i="7"/>
  <c r="C62" i="7"/>
  <c r="B62" i="7"/>
  <c r="C61" i="7"/>
  <c r="B61" i="7"/>
  <c r="C60" i="7"/>
  <c r="B60" i="7"/>
  <c r="C59" i="7"/>
  <c r="B59" i="7"/>
  <c r="C58" i="7"/>
  <c r="B58" i="7"/>
  <c r="C57" i="7"/>
  <c r="B57" i="7"/>
  <c r="C56" i="7"/>
  <c r="B56" i="7"/>
  <c r="C55" i="7"/>
  <c r="B55" i="7"/>
  <c r="C54" i="7"/>
  <c r="B54" i="7"/>
  <c r="C53" i="7"/>
  <c r="B53" i="7"/>
  <c r="C52" i="7"/>
  <c r="B52" i="7"/>
  <c r="C51" i="7"/>
  <c r="B51" i="7"/>
  <c r="C50" i="7"/>
  <c r="B50" i="7"/>
  <c r="C49" i="7"/>
  <c r="B49" i="7"/>
  <c r="C48" i="7"/>
  <c r="B48" i="7"/>
  <c r="C47" i="7"/>
  <c r="B47" i="7"/>
  <c r="C46" i="7"/>
  <c r="B46" i="7"/>
  <c r="C45" i="7"/>
  <c r="B45" i="7"/>
  <c r="C44" i="7"/>
  <c r="B44" i="7"/>
  <c r="C43" i="7"/>
  <c r="B43" i="7"/>
  <c r="C42" i="7"/>
  <c r="B42" i="7"/>
  <c r="C41" i="7"/>
  <c r="B41" i="7"/>
  <c r="C40" i="7"/>
  <c r="B40" i="7"/>
  <c r="C39" i="7"/>
  <c r="B39" i="7"/>
  <c r="C38" i="7"/>
  <c r="B38" i="7"/>
  <c r="C37" i="7"/>
  <c r="B37" i="7"/>
  <c r="C36" i="7"/>
  <c r="B36" i="7"/>
  <c r="C35" i="7"/>
  <c r="B35" i="7"/>
  <c r="C34" i="7"/>
  <c r="B34" i="7"/>
  <c r="C33" i="7"/>
  <c r="B33" i="7"/>
  <c r="C32" i="7"/>
  <c r="B32" i="7"/>
  <c r="C31" i="7"/>
  <c r="B31" i="7"/>
  <c r="C30" i="7"/>
  <c r="B30" i="7"/>
  <c r="C29" i="7"/>
  <c r="B29" i="7"/>
  <c r="C28" i="7"/>
  <c r="B28" i="7"/>
  <c r="C27" i="7"/>
  <c r="B27" i="7"/>
  <c r="C26" i="7"/>
  <c r="B26" i="7"/>
  <c r="C25" i="7"/>
  <c r="B25" i="7"/>
  <c r="C24" i="7"/>
  <c r="B24" i="7"/>
  <c r="C23" i="7"/>
  <c r="B23" i="7"/>
  <c r="C22" i="7"/>
  <c r="B22" i="7"/>
  <c r="C21" i="7"/>
  <c r="B21" i="7"/>
  <c r="C20" i="7"/>
  <c r="B20" i="7"/>
  <c r="C19" i="7"/>
  <c r="B19" i="7"/>
  <c r="C18" i="7"/>
  <c r="B18" i="7"/>
  <c r="C17" i="7"/>
  <c r="B17" i="7"/>
  <c r="C16" i="7"/>
  <c r="B16" i="7"/>
  <c r="C15" i="7"/>
  <c r="B15" i="7"/>
  <c r="C14" i="7"/>
  <c r="B14" i="7"/>
  <c r="C13" i="7"/>
  <c r="B13" i="7"/>
  <c r="C12" i="7"/>
  <c r="B12" i="7"/>
  <c r="C11" i="7"/>
  <c r="B11" i="7"/>
  <c r="C10" i="7"/>
  <c r="B10" i="7"/>
  <c r="C9" i="7"/>
  <c r="B9" i="7"/>
  <c r="C8" i="7"/>
  <c r="B8" i="7"/>
  <c r="C7" i="7"/>
  <c r="B7" i="7"/>
  <c r="C6" i="7"/>
  <c r="B6" i="7"/>
  <c r="C5" i="7"/>
  <c r="B5" i="7"/>
  <c r="C4" i="7"/>
  <c r="B4" i="7"/>
  <c r="A2" i="7"/>
  <c r="G1" i="8" l="1"/>
  <c r="G2" i="8" s="1"/>
  <c r="G5" i="8" s="1"/>
  <c r="AD1" i="8"/>
  <c r="AD2" i="8" s="1"/>
  <c r="AD5" i="8" s="1"/>
  <c r="G1" i="16"/>
  <c r="E1" i="10"/>
  <c r="L1" i="9"/>
  <c r="AF1" i="9"/>
  <c r="AH2" i="7"/>
  <c r="AH4" i="7" s="1"/>
  <c r="O1" i="8"/>
  <c r="O2" i="8" s="1"/>
  <c r="O4" i="8" s="1"/>
  <c r="P1" i="9"/>
  <c r="K1" i="11"/>
  <c r="AA1" i="11"/>
  <c r="S1" i="16"/>
  <c r="V1" i="8"/>
  <c r="V2" i="8" s="1"/>
  <c r="T1" i="9"/>
  <c r="Q1" i="10"/>
  <c r="Q2" i="10" s="1"/>
  <c r="P1" i="11"/>
  <c r="P2" i="11" s="1"/>
  <c r="AF1" i="11"/>
  <c r="AH2" i="14"/>
  <c r="AH4" i="14" s="1"/>
  <c r="P1" i="14"/>
  <c r="W1" i="16"/>
  <c r="W2" i="16" s="1"/>
  <c r="D1" i="9"/>
  <c r="S1" i="11"/>
  <c r="K1" i="8"/>
  <c r="K2" i="8" s="1"/>
  <c r="AH2" i="9"/>
  <c r="AH4" i="9" s="1"/>
  <c r="H1" i="9"/>
  <c r="X1" i="9"/>
  <c r="M1" i="10"/>
  <c r="D1" i="11"/>
  <c r="D2" i="11" s="1"/>
  <c r="L1" i="11"/>
  <c r="T1" i="11"/>
  <c r="AB1" i="11"/>
  <c r="AB2" i="11" s="1"/>
  <c r="J1" i="13"/>
  <c r="R1" i="13"/>
  <c r="R2" i="13" s="1"/>
  <c r="Z1" i="13"/>
  <c r="Z2" i="13" s="1"/>
  <c r="AH1" i="13"/>
  <c r="AH2" i="13" s="1"/>
  <c r="D1" i="14"/>
  <c r="D2" i="14" s="1"/>
  <c r="T1" i="14"/>
  <c r="K1" i="16"/>
  <c r="AA1" i="16"/>
  <c r="G1" i="11"/>
  <c r="G2" i="11" s="1"/>
  <c r="O1" i="11"/>
  <c r="W1" i="11"/>
  <c r="AE1" i="11"/>
  <c r="K1" i="13"/>
  <c r="S1" i="13"/>
  <c r="S2" i="13" s="1"/>
  <c r="AA1" i="13"/>
  <c r="H1" i="14"/>
  <c r="H2" i="14" s="1"/>
  <c r="X1" i="14"/>
  <c r="X2" i="14" s="1"/>
  <c r="O1" i="16"/>
  <c r="O2" i="16" s="1"/>
  <c r="AE1" i="16"/>
  <c r="AE2" i="16" s="1"/>
  <c r="F1" i="13"/>
  <c r="N1" i="13"/>
  <c r="N2" i="13" s="1"/>
  <c r="V1" i="13"/>
  <c r="AD1" i="13"/>
  <c r="G1" i="13"/>
  <c r="O1" i="13"/>
  <c r="W1" i="13"/>
  <c r="F1" i="8"/>
  <c r="F2" i="8" s="1"/>
  <c r="J1" i="8"/>
  <c r="J2" i="8" s="1"/>
  <c r="J5" i="8" s="1"/>
  <c r="N1" i="8"/>
  <c r="N2" i="8" s="1"/>
  <c r="N5" i="8" s="1"/>
  <c r="S1" i="8"/>
  <c r="S2" i="8" s="1"/>
  <c r="AA1" i="8"/>
  <c r="AA2" i="8" s="1"/>
  <c r="AA5" i="8" s="1"/>
  <c r="AE1" i="10"/>
  <c r="AE2" i="10" s="1"/>
  <c r="AA1" i="10"/>
  <c r="AA2" i="10" s="1"/>
  <c r="W1" i="10"/>
  <c r="W2" i="10" s="1"/>
  <c r="S1" i="10"/>
  <c r="O1" i="10"/>
  <c r="O2" i="10" s="1"/>
  <c r="K1" i="10"/>
  <c r="G1" i="10"/>
  <c r="AH1" i="10"/>
  <c r="AH2" i="10" s="1"/>
  <c r="AD1" i="10"/>
  <c r="AD2" i="10" s="1"/>
  <c r="Z1" i="10"/>
  <c r="V1" i="10"/>
  <c r="R1" i="10"/>
  <c r="N1" i="10"/>
  <c r="J1" i="10"/>
  <c r="J2" i="10" s="1"/>
  <c r="F1" i="10"/>
  <c r="AF1" i="10"/>
  <c r="AF2" i="10" s="1"/>
  <c r="AB1" i="10"/>
  <c r="AB2" i="10" s="1"/>
  <c r="X1" i="10"/>
  <c r="X2" i="10" s="1"/>
  <c r="T1" i="10"/>
  <c r="T2" i="10" s="1"/>
  <c r="P1" i="10"/>
  <c r="L1" i="10"/>
  <c r="L2" i="10" s="1"/>
  <c r="H1" i="10"/>
  <c r="D1" i="10"/>
  <c r="I1" i="10"/>
  <c r="Y1" i="10"/>
  <c r="Y2" i="10" s="1"/>
  <c r="D1" i="8"/>
  <c r="D2" i="8" s="1"/>
  <c r="D4" i="8" s="1"/>
  <c r="H1" i="8"/>
  <c r="H2" i="8" s="1"/>
  <c r="L1" i="8"/>
  <c r="L2" i="8" s="1"/>
  <c r="Q1" i="8"/>
  <c r="Q2" i="8" s="1"/>
  <c r="Q5" i="8" s="1"/>
  <c r="W1" i="8"/>
  <c r="W2" i="8" s="1"/>
  <c r="W4" i="8" s="1"/>
  <c r="AF1" i="8"/>
  <c r="AF2" i="8" s="1"/>
  <c r="AB1" i="8"/>
  <c r="AB2" i="8" s="1"/>
  <c r="AB5" i="8" s="1"/>
  <c r="X1" i="8"/>
  <c r="X2" i="8" s="1"/>
  <c r="X5" i="8" s="1"/>
  <c r="T1" i="8"/>
  <c r="T2" i="8" s="1"/>
  <c r="T5" i="8" s="1"/>
  <c r="P1" i="8"/>
  <c r="P2" i="8" s="1"/>
  <c r="P5" i="8" s="1"/>
  <c r="AG1" i="8"/>
  <c r="AG2" i="8" s="1"/>
  <c r="AC1" i="8"/>
  <c r="AC2" i="8" s="1"/>
  <c r="Y1" i="8"/>
  <c r="U1" i="8"/>
  <c r="E1" i="8"/>
  <c r="E2" i="8" s="1"/>
  <c r="I1" i="8"/>
  <c r="M1" i="8"/>
  <c r="R1" i="8"/>
  <c r="R2" i="8" s="1"/>
  <c r="Z1" i="8"/>
  <c r="Z2" i="8" s="1"/>
  <c r="AH1" i="8"/>
  <c r="AH2" i="8" s="1"/>
  <c r="AH4" i="8" s="1"/>
  <c r="G1" i="9"/>
  <c r="K1" i="9"/>
  <c r="O1" i="9"/>
  <c r="O2" i="9" s="1"/>
  <c r="S1" i="9"/>
  <c r="S2" i="9" s="1"/>
  <c r="W1" i="9"/>
  <c r="W2" i="9" s="1"/>
  <c r="AA1" i="9"/>
  <c r="AA2" i="9" s="1"/>
  <c r="AE1" i="9"/>
  <c r="F1" i="11"/>
  <c r="F2" i="11" s="1"/>
  <c r="J1" i="11"/>
  <c r="N1" i="11"/>
  <c r="R1" i="11"/>
  <c r="V1" i="11"/>
  <c r="V2" i="11" s="1"/>
  <c r="Z1" i="11"/>
  <c r="AD1" i="11"/>
  <c r="D1" i="12"/>
  <c r="H1" i="12"/>
  <c r="L1" i="12"/>
  <c r="L2" i="12" s="1"/>
  <c r="P1" i="12"/>
  <c r="T1" i="12"/>
  <c r="T2" i="12" s="1"/>
  <c r="X1" i="12"/>
  <c r="AB1" i="12"/>
  <c r="AB2" i="12" s="1"/>
  <c r="AF1" i="12"/>
  <c r="AF2" i="12" s="1"/>
  <c r="AD2" i="13"/>
  <c r="E1" i="13"/>
  <c r="E2" i="13" s="1"/>
  <c r="I1" i="13"/>
  <c r="M1" i="13"/>
  <c r="Q1" i="13"/>
  <c r="U1" i="13"/>
  <c r="U2" i="13" s="1"/>
  <c r="Y1" i="13"/>
  <c r="AC1" i="13"/>
  <c r="AG1" i="13"/>
  <c r="G1" i="14"/>
  <c r="G2" i="14" s="1"/>
  <c r="K1" i="14"/>
  <c r="K2" i="14" s="1"/>
  <c r="O1" i="14"/>
  <c r="S1" i="14"/>
  <c r="S2" i="14" s="1"/>
  <c r="W1" i="14"/>
  <c r="W2" i="14" s="1"/>
  <c r="AA1" i="14"/>
  <c r="AA2" i="14" s="1"/>
  <c r="AE1" i="14"/>
  <c r="AE2" i="14" s="1"/>
  <c r="D1" i="15"/>
  <c r="H1" i="15"/>
  <c r="H2" i="15" s="1"/>
  <c r="L1" i="15"/>
  <c r="P1" i="15"/>
  <c r="T1" i="15"/>
  <c r="X1" i="15"/>
  <c r="AB1" i="15"/>
  <c r="F1" i="16"/>
  <c r="J1" i="16"/>
  <c r="N1" i="16"/>
  <c r="R1" i="16"/>
  <c r="R2" i="16" s="1"/>
  <c r="V1" i="16"/>
  <c r="Z1" i="16"/>
  <c r="Z2" i="16" s="1"/>
  <c r="AD1" i="16"/>
  <c r="AH1" i="16"/>
  <c r="AH2" i="16" s="1"/>
  <c r="AH5" i="16" s="1"/>
  <c r="D1" i="17"/>
  <c r="D2" i="17" s="1"/>
  <c r="H1" i="17"/>
  <c r="L1" i="17"/>
  <c r="L2" i="17" s="1"/>
  <c r="P1" i="17"/>
  <c r="T1" i="17"/>
  <c r="T2" i="17" s="1"/>
  <c r="X1" i="17"/>
  <c r="AB1" i="17"/>
  <c r="AB2" i="17" s="1"/>
  <c r="G1" i="18"/>
  <c r="G2" i="18" s="1"/>
  <c r="K1" i="18"/>
  <c r="K2" i="18" s="1"/>
  <c r="K5" i="18" s="1"/>
  <c r="O1" i="18"/>
  <c r="S1" i="18"/>
  <c r="W1" i="18"/>
  <c r="AA1" i="18"/>
  <c r="AA2" i="18" s="1"/>
  <c r="AE1" i="18"/>
  <c r="E1" i="12"/>
  <c r="E2" i="12" s="1"/>
  <c r="I1" i="12"/>
  <c r="I2" i="12" s="1"/>
  <c r="M1" i="12"/>
  <c r="M2" i="12" s="1"/>
  <c r="Q1" i="12"/>
  <c r="U1" i="12"/>
  <c r="U2" i="12" s="1"/>
  <c r="Y1" i="12"/>
  <c r="AC1" i="12"/>
  <c r="AG1" i="12"/>
  <c r="E1" i="15"/>
  <c r="E2" i="15" s="1"/>
  <c r="I1" i="15"/>
  <c r="M1" i="15"/>
  <c r="Q1" i="15"/>
  <c r="U1" i="15"/>
  <c r="U2" i="15" s="1"/>
  <c r="Y1" i="15"/>
  <c r="Y2" i="15" s="1"/>
  <c r="AC1" i="15"/>
  <c r="AG1" i="15"/>
  <c r="AG2" i="15" s="1"/>
  <c r="E1" i="17"/>
  <c r="I1" i="17"/>
  <c r="I2" i="17" s="1"/>
  <c r="M1" i="17"/>
  <c r="M2" i="17" s="1"/>
  <c r="Q1" i="17"/>
  <c r="U1" i="17"/>
  <c r="U2" i="17" s="1"/>
  <c r="Y1" i="17"/>
  <c r="Y2" i="17" s="1"/>
  <c r="AC1" i="17"/>
  <c r="D1" i="18"/>
  <c r="H1" i="18"/>
  <c r="H2" i="18" s="1"/>
  <c r="L1" i="18"/>
  <c r="L2" i="18" s="1"/>
  <c r="P1" i="18"/>
  <c r="T1" i="18"/>
  <c r="X1" i="18"/>
  <c r="X2" i="18" s="1"/>
  <c r="AB1" i="18"/>
  <c r="AB2" i="18" s="1"/>
  <c r="E1" i="9"/>
  <c r="I1" i="9"/>
  <c r="I2" i="9" s="1"/>
  <c r="M1" i="9"/>
  <c r="M2" i="9" s="1"/>
  <c r="Q1" i="9"/>
  <c r="Q2" i="9" s="1"/>
  <c r="U1" i="9"/>
  <c r="U2" i="9" s="1"/>
  <c r="Y1" i="9"/>
  <c r="AC1" i="9"/>
  <c r="AC2" i="9" s="1"/>
  <c r="AG1" i="9"/>
  <c r="F1" i="12"/>
  <c r="J1" i="12"/>
  <c r="N1" i="12"/>
  <c r="R1" i="12"/>
  <c r="V1" i="12"/>
  <c r="Z1" i="12"/>
  <c r="AD1" i="12"/>
  <c r="E1" i="14"/>
  <c r="I1" i="14"/>
  <c r="M1" i="14"/>
  <c r="M2" i="14" s="1"/>
  <c r="Q1" i="14"/>
  <c r="U1" i="14"/>
  <c r="U2" i="14" s="1"/>
  <c r="Y1" i="14"/>
  <c r="Y2" i="14" s="1"/>
  <c r="AC1" i="14"/>
  <c r="AG1" i="14"/>
  <c r="F1" i="15"/>
  <c r="J1" i="15"/>
  <c r="N1" i="15"/>
  <c r="R1" i="15"/>
  <c r="R2" i="15" s="1"/>
  <c r="V1" i="15"/>
  <c r="Z1" i="15"/>
  <c r="Z2" i="15" s="1"/>
  <c r="AD1" i="15"/>
  <c r="AD2" i="15" s="1"/>
  <c r="AH1" i="15"/>
  <c r="AH2" i="15" s="1"/>
  <c r="AH5" i="15" s="1"/>
  <c r="D1" i="16"/>
  <c r="D2" i="16" s="1"/>
  <c r="H1" i="16"/>
  <c r="L1" i="16"/>
  <c r="L2" i="16" s="1"/>
  <c r="P1" i="16"/>
  <c r="P2" i="16" s="1"/>
  <c r="T1" i="16"/>
  <c r="T2" i="16" s="1"/>
  <c r="X1" i="16"/>
  <c r="X2" i="16" s="1"/>
  <c r="AB1" i="16"/>
  <c r="F1" i="17"/>
  <c r="F2" i="17" s="1"/>
  <c r="J1" i="17"/>
  <c r="J2" i="17" s="1"/>
  <c r="N1" i="17"/>
  <c r="R1" i="17"/>
  <c r="V1" i="17"/>
  <c r="V2" i="17" s="1"/>
  <c r="Z1" i="17"/>
  <c r="Z2" i="17" s="1"/>
  <c r="AD1" i="17"/>
  <c r="AD2" i="17" s="1"/>
  <c r="E1" i="18"/>
  <c r="E2" i="18" s="1"/>
  <c r="I1" i="18"/>
  <c r="I2" i="18" s="1"/>
  <c r="M1" i="18"/>
  <c r="M2" i="18" s="1"/>
  <c r="Q1" i="18"/>
  <c r="Q2" i="18" s="1"/>
  <c r="U1" i="18"/>
  <c r="U2" i="18" s="1"/>
  <c r="Y1" i="18"/>
  <c r="Y2" i="18" s="1"/>
  <c r="AC1" i="18"/>
  <c r="AC2" i="18" s="1"/>
  <c r="AG1" i="18"/>
  <c r="AG2" i="18" s="1"/>
  <c r="AG4" i="18" s="1"/>
  <c r="F1" i="9"/>
  <c r="J1" i="9"/>
  <c r="J2" i="9" s="1"/>
  <c r="N1" i="9"/>
  <c r="R1" i="9"/>
  <c r="V1" i="9"/>
  <c r="Z1" i="9"/>
  <c r="Z2" i="9" s="1"/>
  <c r="AD1" i="9"/>
  <c r="AH2" i="11"/>
  <c r="E1" i="11"/>
  <c r="I1" i="11"/>
  <c r="I2" i="11" s="1"/>
  <c r="M1" i="11"/>
  <c r="M2" i="11" s="1"/>
  <c r="Q1" i="11"/>
  <c r="U1" i="11"/>
  <c r="U2" i="11" s="1"/>
  <c r="Y1" i="11"/>
  <c r="Y2" i="11" s="1"/>
  <c r="AC1" i="11"/>
  <c r="AC2" i="11" s="1"/>
  <c r="AG1" i="11"/>
  <c r="AG2" i="11" s="1"/>
  <c r="G1" i="12"/>
  <c r="K1" i="12"/>
  <c r="K2" i="12" s="1"/>
  <c r="O1" i="12"/>
  <c r="S1" i="12"/>
  <c r="W1" i="12"/>
  <c r="AA1" i="12"/>
  <c r="AA2" i="12" s="1"/>
  <c r="AE1" i="12"/>
  <c r="D1" i="13"/>
  <c r="H1" i="13"/>
  <c r="L1" i="13"/>
  <c r="L2" i="13" s="1"/>
  <c r="P1" i="13"/>
  <c r="P2" i="13" s="1"/>
  <c r="T1" i="13"/>
  <c r="X1" i="13"/>
  <c r="X2" i="13" s="1"/>
  <c r="AB1" i="13"/>
  <c r="AB2" i="13" s="1"/>
  <c r="AF1" i="13"/>
  <c r="AF2" i="13" s="1"/>
  <c r="F1" i="14"/>
  <c r="F2" i="14" s="1"/>
  <c r="J1" i="14"/>
  <c r="N1" i="14"/>
  <c r="N2" i="14" s="1"/>
  <c r="R1" i="14"/>
  <c r="V1" i="14"/>
  <c r="Z1" i="14"/>
  <c r="AD1" i="14"/>
  <c r="AD2" i="14" s="1"/>
  <c r="G1" i="15"/>
  <c r="K1" i="15"/>
  <c r="O1" i="15"/>
  <c r="S1" i="15"/>
  <c r="S2" i="15" s="1"/>
  <c r="W1" i="15"/>
  <c r="W2" i="15" s="1"/>
  <c r="AA1" i="15"/>
  <c r="AE1" i="15"/>
  <c r="E1" i="16"/>
  <c r="E2" i="16" s="1"/>
  <c r="I1" i="16"/>
  <c r="I2" i="16" s="1"/>
  <c r="M1" i="16"/>
  <c r="Q1" i="16"/>
  <c r="Q2" i="16" s="1"/>
  <c r="U1" i="16"/>
  <c r="Y1" i="16"/>
  <c r="AC1" i="16"/>
  <c r="AG1" i="16"/>
  <c r="AG2" i="16" s="1"/>
  <c r="G1" i="17"/>
  <c r="K1" i="17"/>
  <c r="O1" i="17"/>
  <c r="O2" i="17" s="1"/>
  <c r="S1" i="17"/>
  <c r="W1" i="17"/>
  <c r="W2" i="17" s="1"/>
  <c r="AA1" i="17"/>
  <c r="AA2" i="17" s="1"/>
  <c r="AE1" i="17"/>
  <c r="AE2" i="17" s="1"/>
  <c r="F1" i="18"/>
  <c r="F2" i="18" s="1"/>
  <c r="J1" i="18"/>
  <c r="J2" i="18" s="1"/>
  <c r="N1" i="18"/>
  <c r="N2" i="18" s="1"/>
  <c r="R1" i="18"/>
  <c r="V1" i="18"/>
  <c r="V2" i="18" s="1"/>
  <c r="Z1" i="18"/>
  <c r="AD1" i="18"/>
  <c r="AD2" i="18" s="1"/>
  <c r="AH1" i="18"/>
  <c r="AH2" i="18" s="1"/>
  <c r="AH4" i="18" s="1"/>
  <c r="G5" i="18"/>
  <c r="G4" i="18"/>
  <c r="AF5" i="18"/>
  <c r="AF4" i="18"/>
  <c r="O2" i="18"/>
  <c r="S2" i="18"/>
  <c r="W2" i="18"/>
  <c r="AE2" i="18"/>
  <c r="D2" i="18"/>
  <c r="P2" i="18"/>
  <c r="T2" i="18"/>
  <c r="R2" i="18"/>
  <c r="Z2" i="18"/>
  <c r="AH4" i="17"/>
  <c r="AH5" i="17"/>
  <c r="K2" i="17"/>
  <c r="S2" i="17"/>
  <c r="H2" i="17"/>
  <c r="P2" i="17"/>
  <c r="X2" i="17"/>
  <c r="AF2" i="17"/>
  <c r="G2" i="17"/>
  <c r="E2" i="17"/>
  <c r="Q2" i="17"/>
  <c r="AC2" i="17"/>
  <c r="AG2" i="17"/>
  <c r="N2" i="17"/>
  <c r="R2" i="17"/>
  <c r="H2" i="16"/>
  <c r="AB2" i="16"/>
  <c r="AF2" i="16"/>
  <c r="G2" i="16"/>
  <c r="M2" i="16"/>
  <c r="U2" i="16"/>
  <c r="Y2" i="16"/>
  <c r="AC2" i="16"/>
  <c r="K2" i="16"/>
  <c r="S2" i="16"/>
  <c r="AA2" i="16"/>
  <c r="F2" i="16"/>
  <c r="J2" i="16"/>
  <c r="N2" i="16"/>
  <c r="V2" i="16"/>
  <c r="AD2" i="16"/>
  <c r="G2" i="15"/>
  <c r="G4" i="15" s="1"/>
  <c r="K2" i="15"/>
  <c r="O2" i="15"/>
  <c r="AA2" i="15"/>
  <c r="AE2" i="15"/>
  <c r="D2" i="15"/>
  <c r="L2" i="15"/>
  <c r="X2" i="15"/>
  <c r="AF2" i="15"/>
  <c r="I2" i="15"/>
  <c r="M2" i="15"/>
  <c r="Q2" i="15"/>
  <c r="AC2" i="15"/>
  <c r="P2" i="15"/>
  <c r="T2" i="15"/>
  <c r="AB2" i="15"/>
  <c r="F2" i="15"/>
  <c r="J2" i="15"/>
  <c r="N2" i="15"/>
  <c r="V2" i="15"/>
  <c r="L2" i="14"/>
  <c r="P2" i="14"/>
  <c r="T2" i="14"/>
  <c r="AB2" i="14"/>
  <c r="AF2" i="14"/>
  <c r="O2" i="14"/>
  <c r="E2" i="14"/>
  <c r="I2" i="14"/>
  <c r="Q2" i="14"/>
  <c r="AC2" i="14"/>
  <c r="AG2" i="14"/>
  <c r="J2" i="14"/>
  <c r="R2" i="14"/>
  <c r="V2" i="14"/>
  <c r="Z2" i="14"/>
  <c r="AH4" i="13"/>
  <c r="AH5" i="13"/>
  <c r="AD5" i="13"/>
  <c r="AD4" i="13"/>
  <c r="K2" i="13"/>
  <c r="AA2" i="13"/>
  <c r="G2" i="13"/>
  <c r="O2" i="13"/>
  <c r="W2" i="13"/>
  <c r="AE2" i="13"/>
  <c r="H2" i="13"/>
  <c r="T2" i="13"/>
  <c r="I2" i="13"/>
  <c r="M2" i="13"/>
  <c r="Q2" i="13"/>
  <c r="Y2" i="13"/>
  <c r="AC2" i="13"/>
  <c r="AG2" i="13"/>
  <c r="D2" i="13"/>
  <c r="F2" i="13"/>
  <c r="J2" i="13"/>
  <c r="V2" i="13"/>
  <c r="AH5" i="12"/>
  <c r="AH4" i="12"/>
  <c r="G2" i="12"/>
  <c r="O2" i="12"/>
  <c r="W2" i="12"/>
  <c r="AE2" i="12"/>
  <c r="D2" i="12"/>
  <c r="H2" i="12"/>
  <c r="P2" i="12"/>
  <c r="X2" i="12"/>
  <c r="Q2" i="12"/>
  <c r="Y2" i="12"/>
  <c r="AC2" i="12"/>
  <c r="AG2" i="12"/>
  <c r="S2" i="12"/>
  <c r="F2" i="12"/>
  <c r="J2" i="12"/>
  <c r="N2" i="12"/>
  <c r="R2" i="12"/>
  <c r="V2" i="12"/>
  <c r="Z2" i="12"/>
  <c r="AD2" i="12"/>
  <c r="AH4" i="11"/>
  <c r="AH5" i="11"/>
  <c r="O2" i="11"/>
  <c r="S2" i="11"/>
  <c r="AA2" i="11"/>
  <c r="H2" i="11"/>
  <c r="L2" i="11"/>
  <c r="T2" i="11"/>
  <c r="X2" i="11"/>
  <c r="AF2" i="11"/>
  <c r="K2" i="11"/>
  <c r="W2" i="11"/>
  <c r="AE2" i="11"/>
  <c r="E2" i="11"/>
  <c r="Q2" i="11"/>
  <c r="J2" i="11"/>
  <c r="N2" i="11"/>
  <c r="R2" i="11"/>
  <c r="Z2" i="11"/>
  <c r="AD2" i="11"/>
  <c r="AH4" i="10"/>
  <c r="AH5" i="10"/>
  <c r="D2" i="10"/>
  <c r="H2" i="10"/>
  <c r="P2" i="10"/>
  <c r="K2" i="10"/>
  <c r="S2" i="10"/>
  <c r="E2" i="10"/>
  <c r="I2" i="10"/>
  <c r="M2" i="10"/>
  <c r="U2" i="10"/>
  <c r="AC2" i="10"/>
  <c r="AG2" i="10"/>
  <c r="G2" i="10"/>
  <c r="F2" i="10"/>
  <c r="N2" i="10"/>
  <c r="R2" i="10"/>
  <c r="V2" i="10"/>
  <c r="Z2" i="10"/>
  <c r="AH5" i="9"/>
  <c r="K2" i="9"/>
  <c r="AE2" i="9"/>
  <c r="D2" i="9"/>
  <c r="H2" i="9"/>
  <c r="L2" i="9"/>
  <c r="P2" i="9"/>
  <c r="T2" i="9"/>
  <c r="X2" i="9"/>
  <c r="AB2" i="9"/>
  <c r="AF2" i="9"/>
  <c r="E2" i="9"/>
  <c r="Y2" i="9"/>
  <c r="AG2" i="9"/>
  <c r="G2" i="9"/>
  <c r="F2" i="9"/>
  <c r="N2" i="9"/>
  <c r="R2" i="9"/>
  <c r="V2" i="9"/>
  <c r="AD2" i="9"/>
  <c r="I2" i="8"/>
  <c r="I4" i="8" s="1"/>
  <c r="M2" i="8"/>
  <c r="M4" i="8" s="1"/>
  <c r="U2" i="8"/>
  <c r="U4" i="8" s="1"/>
  <c r="Y2" i="8"/>
  <c r="Y5" i="8" s="1"/>
  <c r="D5" i="8"/>
  <c r="AH5" i="8"/>
  <c r="E4" i="8"/>
  <c r="E5" i="8"/>
  <c r="F5" i="8"/>
  <c r="F4" i="8"/>
  <c r="V5" i="8"/>
  <c r="V4" i="8"/>
  <c r="AE5" i="8"/>
  <c r="AE4" i="8"/>
  <c r="J4" i="8"/>
  <c r="N4" i="8"/>
  <c r="R5" i="8"/>
  <c r="R4" i="8"/>
  <c r="Z5" i="8"/>
  <c r="Z4" i="8"/>
  <c r="K5" i="8"/>
  <c r="K4" i="8"/>
  <c r="O5" i="8"/>
  <c r="S5" i="8"/>
  <c r="S4" i="8"/>
  <c r="W5" i="8"/>
  <c r="H5" i="8"/>
  <c r="H4" i="8"/>
  <c r="L5" i="8"/>
  <c r="L4" i="8"/>
  <c r="AB4" i="8"/>
  <c r="AF5" i="8"/>
  <c r="AF4" i="8"/>
  <c r="AE1" i="7"/>
  <c r="AE2" i="7" s="1"/>
  <c r="AA1" i="7"/>
  <c r="AA2" i="7" s="1"/>
  <c r="W1" i="7"/>
  <c r="W2" i="7" s="1"/>
  <c r="S1" i="7"/>
  <c r="S2" i="7" s="1"/>
  <c r="O1" i="7"/>
  <c r="O2" i="7" s="1"/>
  <c r="K1" i="7"/>
  <c r="K2" i="7" s="1"/>
  <c r="G1" i="7"/>
  <c r="G2" i="7" s="1"/>
  <c r="AD1" i="7"/>
  <c r="Z1" i="7"/>
  <c r="Z2" i="7" s="1"/>
  <c r="V1" i="7"/>
  <c r="V2" i="7" s="1"/>
  <c r="R1" i="7"/>
  <c r="R2" i="7" s="1"/>
  <c r="N1" i="7"/>
  <c r="J1" i="7"/>
  <c r="J2" i="7" s="1"/>
  <c r="F1" i="7"/>
  <c r="F2" i="7" s="1"/>
  <c r="AG1" i="7"/>
  <c r="AG2" i="7" s="1"/>
  <c r="AC1" i="7"/>
  <c r="AC2" i="7" s="1"/>
  <c r="Y1" i="7"/>
  <c r="Y2" i="7" s="1"/>
  <c r="U1" i="7"/>
  <c r="U2" i="7" s="1"/>
  <c r="Q1" i="7"/>
  <c r="Q2" i="7" s="1"/>
  <c r="M1" i="7"/>
  <c r="M2" i="7" s="1"/>
  <c r="I1" i="7"/>
  <c r="I2" i="7" s="1"/>
  <c r="E1" i="7"/>
  <c r="E2" i="7" s="1"/>
  <c r="AF1" i="7"/>
  <c r="AF2" i="7" s="1"/>
  <c r="AB1" i="7"/>
  <c r="X1" i="7"/>
  <c r="X2" i="7" s="1"/>
  <c r="T1" i="7"/>
  <c r="T2" i="7" s="1"/>
  <c r="P1" i="7"/>
  <c r="P2" i="7" s="1"/>
  <c r="L1" i="7"/>
  <c r="H1" i="7"/>
  <c r="H2" i="7" s="1"/>
  <c r="D1" i="7"/>
  <c r="D2" i="7" s="1"/>
  <c r="D5" i="7" s="1"/>
  <c r="L2" i="7"/>
  <c r="AB2" i="7"/>
  <c r="N2" i="7"/>
  <c r="AD2" i="7"/>
  <c r="AG5" i="18" l="1"/>
  <c r="T4" i="8"/>
  <c r="G4" i="8"/>
  <c r="P4" i="8"/>
  <c r="AD4" i="8"/>
  <c r="AH5" i="7"/>
  <c r="AH5" i="18"/>
  <c r="AA4" i="8"/>
  <c r="AH5" i="14"/>
  <c r="AC5" i="8"/>
  <c r="AC4" i="8"/>
  <c r="AH4" i="15"/>
  <c r="M5" i="8"/>
  <c r="X4" i="8"/>
  <c r="AG4" i="8"/>
  <c r="AG5" i="8"/>
  <c r="X5" i="7"/>
  <c r="X4" i="7"/>
  <c r="Y5" i="7"/>
  <c r="Y4" i="7"/>
  <c r="AD5" i="15"/>
  <c r="AD4" i="15"/>
  <c r="AD4" i="10"/>
  <c r="AD5" i="10"/>
  <c r="I5" i="7"/>
  <c r="I4" i="7"/>
  <c r="E5" i="7"/>
  <c r="E4" i="7"/>
  <c r="V4" i="7"/>
  <c r="V5" i="7"/>
  <c r="AD5" i="18"/>
  <c r="AD4" i="18"/>
  <c r="H5" i="7"/>
  <c r="H4" i="7"/>
  <c r="Z4" i="7"/>
  <c r="Z5" i="7"/>
  <c r="U5" i="7"/>
  <c r="U4" i="7"/>
  <c r="N4" i="7"/>
  <c r="N5" i="7"/>
  <c r="K4" i="7"/>
  <c r="K5" i="7"/>
  <c r="AA4" i="7"/>
  <c r="AA5" i="7"/>
  <c r="Y4" i="8"/>
  <c r="AH4" i="16"/>
  <c r="T5" i="7"/>
  <c r="T4" i="7"/>
  <c r="I5" i="8"/>
  <c r="J4" i="7"/>
  <c r="J5" i="7"/>
  <c r="O4" i="7"/>
  <c r="O5" i="7"/>
  <c r="L5" i="7"/>
  <c r="L4" i="7"/>
  <c r="M5" i="7"/>
  <c r="M4" i="7"/>
  <c r="AC5" i="7"/>
  <c r="AC4" i="7"/>
  <c r="S4" i="7"/>
  <c r="S5" i="7"/>
  <c r="D4" i="7"/>
  <c r="K4" i="18"/>
  <c r="AD4" i="7"/>
  <c r="AD5" i="7"/>
  <c r="AE4" i="7"/>
  <c r="AE5" i="7"/>
  <c r="F4" i="7"/>
  <c r="F5" i="7"/>
  <c r="AB5" i="7"/>
  <c r="AB4" i="7"/>
  <c r="P5" i="7"/>
  <c r="P4" i="7"/>
  <c r="AF5" i="7"/>
  <c r="AF4" i="7"/>
  <c r="Q5" i="7"/>
  <c r="Q4" i="7"/>
  <c r="AG5" i="7"/>
  <c r="AG4" i="7"/>
  <c r="R4" i="7"/>
  <c r="R5" i="7"/>
  <c r="G4" i="7"/>
  <c r="G5" i="7"/>
  <c r="W4" i="7"/>
  <c r="W5" i="7"/>
  <c r="J5" i="18"/>
  <c r="J4" i="18"/>
  <c r="D5" i="18"/>
  <c r="D4" i="18"/>
  <c r="AE5" i="18"/>
  <c r="AE4" i="18"/>
  <c r="V5" i="18"/>
  <c r="V4" i="18"/>
  <c r="F5" i="18"/>
  <c r="F4" i="18"/>
  <c r="P5" i="18"/>
  <c r="P4" i="18"/>
  <c r="AC4" i="18"/>
  <c r="AC5" i="18"/>
  <c r="M4" i="18"/>
  <c r="M5" i="18"/>
  <c r="AA5" i="18"/>
  <c r="AA4" i="18"/>
  <c r="AB5" i="18"/>
  <c r="AB4" i="18"/>
  <c r="Y4" i="18"/>
  <c r="Y5" i="18"/>
  <c r="W5" i="18"/>
  <c r="W4" i="18"/>
  <c r="R4" i="18"/>
  <c r="R5" i="18"/>
  <c r="L5" i="18"/>
  <c r="L4" i="18"/>
  <c r="I4" i="18"/>
  <c r="I5" i="18"/>
  <c r="N5" i="18"/>
  <c r="N4" i="18"/>
  <c r="X5" i="18"/>
  <c r="X4" i="18"/>
  <c r="H5" i="18"/>
  <c r="H4" i="18"/>
  <c r="U4" i="18"/>
  <c r="U5" i="18"/>
  <c r="E4" i="18"/>
  <c r="E5" i="18"/>
  <c r="S5" i="18"/>
  <c r="S4" i="18"/>
  <c r="Z5" i="18"/>
  <c r="Z4" i="18"/>
  <c r="T5" i="18"/>
  <c r="T4" i="18"/>
  <c r="Q4" i="18"/>
  <c r="Q5" i="18"/>
  <c r="O5" i="18"/>
  <c r="O4" i="18"/>
  <c r="AC4" i="17"/>
  <c r="AC5" i="17"/>
  <c r="AD5" i="17"/>
  <c r="AD4" i="17"/>
  <c r="N4" i="17"/>
  <c r="N5" i="17"/>
  <c r="M4" i="17"/>
  <c r="M5" i="17"/>
  <c r="W5" i="17"/>
  <c r="W4" i="17"/>
  <c r="AB5" i="17"/>
  <c r="AB4" i="17"/>
  <c r="L5" i="17"/>
  <c r="L4" i="17"/>
  <c r="S5" i="17"/>
  <c r="S4" i="17"/>
  <c r="Z4" i="17"/>
  <c r="Z5" i="17"/>
  <c r="J4" i="17"/>
  <c r="J5" i="17"/>
  <c r="Y4" i="17"/>
  <c r="Y5" i="17"/>
  <c r="I4" i="17"/>
  <c r="I5" i="17"/>
  <c r="O5" i="17"/>
  <c r="O4" i="17"/>
  <c r="X5" i="17"/>
  <c r="X4" i="17"/>
  <c r="H5" i="17"/>
  <c r="H4" i="17"/>
  <c r="K5" i="17"/>
  <c r="K4" i="17"/>
  <c r="V4" i="17"/>
  <c r="V5" i="17"/>
  <c r="F5" i="17"/>
  <c r="F4" i="17"/>
  <c r="U4" i="17"/>
  <c r="U5" i="17"/>
  <c r="E4" i="17"/>
  <c r="E5" i="17"/>
  <c r="G5" i="17"/>
  <c r="G4" i="17"/>
  <c r="T5" i="17"/>
  <c r="T4" i="17"/>
  <c r="D5" i="17"/>
  <c r="D4" i="17"/>
  <c r="R5" i="17"/>
  <c r="R4" i="17"/>
  <c r="AG4" i="17"/>
  <c r="AG5" i="17"/>
  <c r="Q4" i="17"/>
  <c r="Q5" i="17"/>
  <c r="AE5" i="17"/>
  <c r="AE4" i="17"/>
  <c r="AF5" i="17"/>
  <c r="AF4" i="17"/>
  <c r="P5" i="17"/>
  <c r="P4" i="17"/>
  <c r="AA5" i="17"/>
  <c r="AA4" i="17"/>
  <c r="N4" i="16"/>
  <c r="N5" i="16"/>
  <c r="Y4" i="16"/>
  <c r="Y5" i="16"/>
  <c r="I4" i="16"/>
  <c r="I5" i="16"/>
  <c r="O5" i="16"/>
  <c r="O4" i="16"/>
  <c r="X5" i="16"/>
  <c r="X4" i="16"/>
  <c r="H5" i="16"/>
  <c r="H4" i="16"/>
  <c r="S5" i="16"/>
  <c r="S4" i="16"/>
  <c r="Z4" i="16"/>
  <c r="Z5" i="16"/>
  <c r="J5" i="16"/>
  <c r="J4" i="16"/>
  <c r="K5" i="16"/>
  <c r="K4" i="16"/>
  <c r="U4" i="16"/>
  <c r="U5" i="16"/>
  <c r="E4" i="16"/>
  <c r="E5" i="16"/>
  <c r="G5" i="16"/>
  <c r="G4" i="16"/>
  <c r="T5" i="16"/>
  <c r="T4" i="16"/>
  <c r="D5" i="16"/>
  <c r="D4" i="16"/>
  <c r="AD4" i="16"/>
  <c r="AD5" i="16"/>
  <c r="V5" i="16"/>
  <c r="V4" i="16"/>
  <c r="F4" i="16"/>
  <c r="F5" i="16"/>
  <c r="AG4" i="16"/>
  <c r="AG5" i="16"/>
  <c r="Q4" i="16"/>
  <c r="Q5" i="16"/>
  <c r="AE5" i="16"/>
  <c r="AE4" i="16"/>
  <c r="AF5" i="16"/>
  <c r="AF4" i="16"/>
  <c r="P5" i="16"/>
  <c r="P4" i="16"/>
  <c r="R4" i="16"/>
  <c r="R5" i="16"/>
  <c r="AA5" i="16"/>
  <c r="AA4" i="16"/>
  <c r="AC4" i="16"/>
  <c r="AC5" i="16"/>
  <c r="M4" i="16"/>
  <c r="M5" i="16"/>
  <c r="W5" i="16"/>
  <c r="W4" i="16"/>
  <c r="AB5" i="16"/>
  <c r="AB4" i="16"/>
  <c r="L5" i="16"/>
  <c r="L4" i="16"/>
  <c r="G5" i="15"/>
  <c r="AG4" i="15"/>
  <c r="AG5" i="15"/>
  <c r="AF5" i="15"/>
  <c r="AF4" i="15"/>
  <c r="N5" i="15"/>
  <c r="N4" i="15"/>
  <c r="T5" i="15"/>
  <c r="T4" i="15"/>
  <c r="AC4" i="15"/>
  <c r="AC5" i="15"/>
  <c r="M4" i="15"/>
  <c r="M5" i="15"/>
  <c r="X5" i="15"/>
  <c r="X4" i="15"/>
  <c r="AA4" i="15"/>
  <c r="AA5" i="15"/>
  <c r="K4" i="15"/>
  <c r="K5" i="15"/>
  <c r="AB5" i="15"/>
  <c r="AB4" i="15"/>
  <c r="AE4" i="15"/>
  <c r="AE5" i="15"/>
  <c r="Z5" i="15"/>
  <c r="Z4" i="15"/>
  <c r="J4" i="15"/>
  <c r="J5" i="15"/>
  <c r="P5" i="15"/>
  <c r="P4" i="15"/>
  <c r="Y4" i="15"/>
  <c r="Y5" i="15"/>
  <c r="I4" i="15"/>
  <c r="I5" i="15"/>
  <c r="L5" i="15"/>
  <c r="L4" i="15"/>
  <c r="W4" i="15"/>
  <c r="W5" i="15"/>
  <c r="R5" i="15"/>
  <c r="R4" i="15"/>
  <c r="Q4" i="15"/>
  <c r="Q5" i="15"/>
  <c r="O5" i="15"/>
  <c r="O4" i="15"/>
  <c r="V5" i="15"/>
  <c r="V4" i="15"/>
  <c r="F5" i="15"/>
  <c r="F4" i="15"/>
  <c r="H5" i="15"/>
  <c r="H4" i="15"/>
  <c r="U4" i="15"/>
  <c r="U5" i="15"/>
  <c r="E4" i="15"/>
  <c r="E5" i="15"/>
  <c r="D5" i="15"/>
  <c r="D4" i="15"/>
  <c r="S4" i="15"/>
  <c r="S5" i="15"/>
  <c r="Q4" i="14"/>
  <c r="Q5" i="14"/>
  <c r="AD5" i="14"/>
  <c r="AD4" i="14"/>
  <c r="N4" i="14"/>
  <c r="N5" i="14"/>
  <c r="AC4" i="14"/>
  <c r="AC5" i="14"/>
  <c r="M4" i="14"/>
  <c r="M5" i="14"/>
  <c r="AA5" i="14"/>
  <c r="AA4" i="14"/>
  <c r="K5" i="14"/>
  <c r="K4" i="14"/>
  <c r="X5" i="14"/>
  <c r="X4" i="14"/>
  <c r="H5" i="14"/>
  <c r="H4" i="14"/>
  <c r="AG4" i="14"/>
  <c r="AG5" i="14"/>
  <c r="Z5" i="14"/>
  <c r="Z4" i="14"/>
  <c r="J5" i="14"/>
  <c r="J4" i="14"/>
  <c r="Y4" i="14"/>
  <c r="Y5" i="14"/>
  <c r="I4" i="14"/>
  <c r="I5" i="14"/>
  <c r="W5" i="14"/>
  <c r="W4" i="14"/>
  <c r="G5" i="14"/>
  <c r="G4" i="14"/>
  <c r="T5" i="14"/>
  <c r="T4" i="14"/>
  <c r="D5" i="14"/>
  <c r="D4" i="14"/>
  <c r="V4" i="14"/>
  <c r="V5" i="14"/>
  <c r="F4" i="14"/>
  <c r="F5" i="14"/>
  <c r="U4" i="14"/>
  <c r="U5" i="14"/>
  <c r="E4" i="14"/>
  <c r="E5" i="14"/>
  <c r="S5" i="14"/>
  <c r="S4" i="14"/>
  <c r="AF5" i="14"/>
  <c r="AF4" i="14"/>
  <c r="P5" i="14"/>
  <c r="P4" i="14"/>
  <c r="R5" i="14"/>
  <c r="R4" i="14"/>
  <c r="AE5" i="14"/>
  <c r="AE4" i="14"/>
  <c r="O5" i="14"/>
  <c r="O4" i="14"/>
  <c r="AB5" i="14"/>
  <c r="AB4" i="14"/>
  <c r="L5" i="14"/>
  <c r="L4" i="14"/>
  <c r="V4" i="13"/>
  <c r="V5" i="13"/>
  <c r="F5" i="13"/>
  <c r="F4" i="13"/>
  <c r="AC4" i="13"/>
  <c r="AC5" i="13"/>
  <c r="M4" i="13"/>
  <c r="M5" i="13"/>
  <c r="AB5" i="13"/>
  <c r="AB4" i="13"/>
  <c r="H5" i="13"/>
  <c r="H4" i="13"/>
  <c r="G5" i="13"/>
  <c r="G4" i="13"/>
  <c r="R5" i="13"/>
  <c r="R4" i="13"/>
  <c r="P5" i="13"/>
  <c r="P4" i="13"/>
  <c r="Y4" i="13"/>
  <c r="Y5" i="13"/>
  <c r="I4" i="13"/>
  <c r="I5" i="13"/>
  <c r="X5" i="13"/>
  <c r="X4" i="13"/>
  <c r="AE5" i="13"/>
  <c r="AE4" i="13"/>
  <c r="AA5" i="13"/>
  <c r="AA4" i="13"/>
  <c r="N5" i="13"/>
  <c r="N4" i="13"/>
  <c r="D5" i="13"/>
  <c r="D4" i="13"/>
  <c r="U4" i="13"/>
  <c r="U5" i="13"/>
  <c r="E4" i="13"/>
  <c r="E5" i="13"/>
  <c r="T5" i="13"/>
  <c r="T4" i="13"/>
  <c r="W5" i="13"/>
  <c r="W4" i="13"/>
  <c r="S5" i="13"/>
  <c r="S4" i="13"/>
  <c r="Z5" i="13"/>
  <c r="Z4" i="13"/>
  <c r="J4" i="13"/>
  <c r="J5" i="13"/>
  <c r="AG4" i="13"/>
  <c r="AG5" i="13"/>
  <c r="Q4" i="13"/>
  <c r="Q5" i="13"/>
  <c r="AF5" i="13"/>
  <c r="AF4" i="13"/>
  <c r="L5" i="13"/>
  <c r="L4" i="13"/>
  <c r="O5" i="13"/>
  <c r="O4" i="13"/>
  <c r="K5" i="13"/>
  <c r="K4" i="13"/>
  <c r="S5" i="12"/>
  <c r="S4" i="12"/>
  <c r="X5" i="12"/>
  <c r="X4" i="12"/>
  <c r="Z4" i="12"/>
  <c r="Z5" i="12"/>
  <c r="J5" i="12"/>
  <c r="J4" i="12"/>
  <c r="K5" i="12"/>
  <c r="K4" i="12"/>
  <c r="U4" i="12"/>
  <c r="U5" i="12"/>
  <c r="E4" i="12"/>
  <c r="E5" i="12"/>
  <c r="T5" i="12"/>
  <c r="T4" i="12"/>
  <c r="D5" i="12"/>
  <c r="D4" i="12"/>
  <c r="G5" i="12"/>
  <c r="G4" i="12"/>
  <c r="AD4" i="12"/>
  <c r="AD5" i="12"/>
  <c r="I4" i="12"/>
  <c r="I5" i="12"/>
  <c r="H5" i="12"/>
  <c r="H4" i="12"/>
  <c r="V5" i="12"/>
  <c r="V4" i="12"/>
  <c r="F4" i="12"/>
  <c r="F5" i="12"/>
  <c r="AG4" i="12"/>
  <c r="AG5" i="12"/>
  <c r="Q4" i="12"/>
  <c r="Q5" i="12"/>
  <c r="AF5" i="12"/>
  <c r="AF4" i="12"/>
  <c r="P5" i="12"/>
  <c r="P4" i="12"/>
  <c r="AE5" i="12"/>
  <c r="AE4" i="12"/>
  <c r="N4" i="12"/>
  <c r="N5" i="12"/>
  <c r="Y4" i="12"/>
  <c r="Y5" i="12"/>
  <c r="O5" i="12"/>
  <c r="O4" i="12"/>
  <c r="R4" i="12"/>
  <c r="R5" i="12"/>
  <c r="AA5" i="12"/>
  <c r="AA4" i="12"/>
  <c r="AC4" i="12"/>
  <c r="AC5" i="12"/>
  <c r="M4" i="12"/>
  <c r="M5" i="12"/>
  <c r="AB5" i="12"/>
  <c r="AB4" i="12"/>
  <c r="L5" i="12"/>
  <c r="L4" i="12"/>
  <c r="W5" i="12"/>
  <c r="W4" i="12"/>
  <c r="AD4" i="11"/>
  <c r="AD5" i="11"/>
  <c r="W5" i="11"/>
  <c r="W4" i="11"/>
  <c r="O5" i="11"/>
  <c r="O4" i="11"/>
  <c r="Z5" i="11"/>
  <c r="Z4" i="11"/>
  <c r="J5" i="11"/>
  <c r="J4" i="11"/>
  <c r="Y4" i="11"/>
  <c r="Y5" i="11"/>
  <c r="I4" i="11"/>
  <c r="I5" i="11"/>
  <c r="K5" i="11"/>
  <c r="K4" i="11"/>
  <c r="T5" i="11"/>
  <c r="T4" i="11"/>
  <c r="D5" i="11"/>
  <c r="D4" i="11"/>
  <c r="G5" i="11"/>
  <c r="G4" i="11"/>
  <c r="N5" i="11"/>
  <c r="N4" i="11"/>
  <c r="M4" i="11"/>
  <c r="M5" i="11"/>
  <c r="H5" i="11"/>
  <c r="H4" i="11"/>
  <c r="V4" i="11"/>
  <c r="V5" i="11"/>
  <c r="F4" i="11"/>
  <c r="F5" i="11"/>
  <c r="U4" i="11"/>
  <c r="U5" i="11"/>
  <c r="E4" i="11"/>
  <c r="E5" i="11"/>
  <c r="AF5" i="11"/>
  <c r="AF4" i="11"/>
  <c r="P5" i="11"/>
  <c r="P4" i="11"/>
  <c r="AA5" i="11"/>
  <c r="AA4" i="11"/>
  <c r="AC4" i="11"/>
  <c r="AC5" i="11"/>
  <c r="X5" i="11"/>
  <c r="X4" i="11"/>
  <c r="R4" i="11"/>
  <c r="R5" i="11"/>
  <c r="AG4" i="11"/>
  <c r="AG5" i="11"/>
  <c r="Q4" i="11"/>
  <c r="Q5" i="11"/>
  <c r="AE5" i="11"/>
  <c r="AE4" i="11"/>
  <c r="AB5" i="11"/>
  <c r="AB4" i="11"/>
  <c r="L5" i="11"/>
  <c r="L4" i="11"/>
  <c r="S5" i="11"/>
  <c r="S4" i="11"/>
  <c r="V5" i="10"/>
  <c r="V4" i="10"/>
  <c r="E4" i="10"/>
  <c r="E5" i="10"/>
  <c r="L5" i="10"/>
  <c r="L4" i="10"/>
  <c r="F4" i="10"/>
  <c r="F5" i="10"/>
  <c r="G5" i="10"/>
  <c r="G4" i="10"/>
  <c r="U4" i="10"/>
  <c r="U5" i="10"/>
  <c r="AF5" i="10"/>
  <c r="AF4" i="10"/>
  <c r="P5" i="10"/>
  <c r="P4" i="10"/>
  <c r="R4" i="10"/>
  <c r="R5" i="10"/>
  <c r="AE5" i="10"/>
  <c r="AE4" i="10"/>
  <c r="AG4" i="10"/>
  <c r="AG5" i="10"/>
  <c r="Q4" i="10"/>
  <c r="Q5" i="10"/>
  <c r="AB5" i="10"/>
  <c r="AB4" i="10"/>
  <c r="N4" i="10"/>
  <c r="N5" i="10"/>
  <c r="W5" i="10"/>
  <c r="W4" i="10"/>
  <c r="AC4" i="10"/>
  <c r="AC5" i="10"/>
  <c r="M4" i="10"/>
  <c r="M5" i="10"/>
  <c r="S5" i="10"/>
  <c r="S4" i="10"/>
  <c r="X5" i="10"/>
  <c r="X4" i="10"/>
  <c r="H5" i="10"/>
  <c r="H4" i="10"/>
  <c r="AA5" i="10"/>
  <c r="AA4" i="10"/>
  <c r="Z4" i="10"/>
  <c r="Z5" i="10"/>
  <c r="J5" i="10"/>
  <c r="J4" i="10"/>
  <c r="O5" i="10"/>
  <c r="O4" i="10"/>
  <c r="Y4" i="10"/>
  <c r="Y5" i="10"/>
  <c r="I4" i="10"/>
  <c r="I5" i="10"/>
  <c r="K5" i="10"/>
  <c r="K4" i="10"/>
  <c r="T5" i="10"/>
  <c r="T4" i="10"/>
  <c r="D5" i="10"/>
  <c r="D4" i="10"/>
  <c r="AD4" i="9"/>
  <c r="AD5" i="9"/>
  <c r="N4" i="9"/>
  <c r="N5" i="9"/>
  <c r="AC4" i="9"/>
  <c r="AC5" i="9"/>
  <c r="AB5" i="9"/>
  <c r="AB4" i="9"/>
  <c r="W5" i="9"/>
  <c r="W4" i="9"/>
  <c r="J5" i="9"/>
  <c r="J4" i="9"/>
  <c r="Y4" i="9"/>
  <c r="Y5" i="9"/>
  <c r="I4" i="9"/>
  <c r="I5" i="9"/>
  <c r="H5" i="9"/>
  <c r="H4" i="9"/>
  <c r="K5" i="9"/>
  <c r="K4" i="9"/>
  <c r="V5" i="9"/>
  <c r="V4" i="9"/>
  <c r="F4" i="9"/>
  <c r="F5" i="9"/>
  <c r="G5" i="9"/>
  <c r="G4" i="9"/>
  <c r="U4" i="9"/>
  <c r="U5" i="9"/>
  <c r="E4" i="9"/>
  <c r="E5" i="9"/>
  <c r="T5" i="9"/>
  <c r="T4" i="9"/>
  <c r="D5" i="9"/>
  <c r="D4" i="9"/>
  <c r="S5" i="9"/>
  <c r="S4" i="9"/>
  <c r="M4" i="9"/>
  <c r="M5" i="9"/>
  <c r="L5" i="9"/>
  <c r="L4" i="9"/>
  <c r="Z4" i="9"/>
  <c r="Z5" i="9"/>
  <c r="O5" i="9"/>
  <c r="O4" i="9"/>
  <c r="X5" i="9"/>
  <c r="X4" i="9"/>
  <c r="R4" i="9"/>
  <c r="R5" i="9"/>
  <c r="AA5" i="9"/>
  <c r="AA4" i="9"/>
  <c r="AG4" i="9"/>
  <c r="AG5" i="9"/>
  <c r="Q4" i="9"/>
  <c r="Q5" i="9"/>
  <c r="AF5" i="9"/>
  <c r="AF4" i="9"/>
  <c r="P5" i="9"/>
  <c r="P4" i="9"/>
  <c r="AE5" i="9"/>
  <c r="AE4" i="9"/>
  <c r="Q4" i="8"/>
  <c r="U5" i="8"/>
</calcChain>
</file>

<file path=xl/sharedStrings.xml><?xml version="1.0" encoding="utf-8"?>
<sst xmlns="http://schemas.openxmlformats.org/spreadsheetml/2006/main" count="484" uniqueCount="352">
  <si>
    <t>西暦</t>
    <rPh sb="0" eb="2">
      <t>セイレキ</t>
    </rPh>
    <phoneticPr fontId="1"/>
  </si>
  <si>
    <t>月</t>
    <rPh sb="0" eb="1">
      <t>ガツ</t>
    </rPh>
    <phoneticPr fontId="1"/>
  </si>
  <si>
    <t>職名</t>
  </si>
  <si>
    <t>氏名</t>
  </si>
  <si>
    <t>校長</t>
  </si>
  <si>
    <t>教頭</t>
  </si>
  <si>
    <t>教諭</t>
  </si>
  <si>
    <t>講師</t>
  </si>
  <si>
    <t>助教諭</t>
  </si>
  <si>
    <t>養護教諭</t>
  </si>
  <si>
    <t>主任実習助手</t>
  </si>
  <si>
    <t>実習助手</t>
  </si>
  <si>
    <t>名前</t>
    <rPh sb="0" eb="2">
      <t>ナマエ</t>
    </rPh>
    <phoneticPr fontId="1"/>
  </si>
  <si>
    <t>職名</t>
    <rPh sb="0" eb="2">
      <t>ショクメイ</t>
    </rPh>
    <phoneticPr fontId="1"/>
  </si>
  <si>
    <t>日</t>
    <rPh sb="0" eb="1">
      <t>ニチ</t>
    </rPh>
    <phoneticPr fontId="1"/>
  </si>
  <si>
    <t>非表示列</t>
    <rPh sb="0" eb="3">
      <t>ヒヒョウジ</t>
    </rPh>
    <rPh sb="3" eb="4">
      <t>レツ</t>
    </rPh>
    <phoneticPr fontId="1"/>
  </si>
  <si>
    <t>祝日なら１→</t>
    <rPh sb="0" eb="2">
      <t>シュクジツ</t>
    </rPh>
    <phoneticPr fontId="1"/>
  </si>
  <si>
    <t>土日で働いた日を入れてね</t>
    <rPh sb="0" eb="2">
      <t>ドニチ</t>
    </rPh>
    <rPh sb="3" eb="4">
      <t>ハタラ</t>
    </rPh>
    <rPh sb="6" eb="7">
      <t>ヒ</t>
    </rPh>
    <rPh sb="8" eb="9">
      <t>イ</t>
    </rPh>
    <phoneticPr fontId="1"/>
  </si>
  <si>
    <t>職員番号</t>
    <rPh sb="0" eb="4">
      <t>ショクインバンゴウ</t>
    </rPh>
    <phoneticPr fontId="1"/>
  </si>
  <si>
    <t>↓ここ</t>
    <phoneticPr fontId="1"/>
  </si>
  <si>
    <t>　から</t>
    <phoneticPr fontId="1"/>
  </si>
  <si>
    <t>職員番号：</t>
    <rPh sb="0" eb="4">
      <t>ショクインバンゴウ</t>
    </rPh>
    <phoneticPr fontId="1"/>
  </si>
  <si>
    <t>日　　付：</t>
    <rPh sb="0" eb="1">
      <t>ヒ</t>
    </rPh>
    <rPh sb="3" eb="4">
      <t>ツキ</t>
    </rPh>
    <phoneticPr fontId="1"/>
  </si>
  <si>
    <t>名　　前：</t>
    <rPh sb="0" eb="1">
      <t>ナ</t>
    </rPh>
    <rPh sb="3" eb="4">
      <t>マエ</t>
    </rPh>
    <phoneticPr fontId="1"/>
  </si>
  <si>
    <t>うるう年</t>
    <rPh sb="3" eb="4">
      <t>ドシ</t>
    </rPh>
    <phoneticPr fontId="1"/>
  </si>
  <si>
    <t>January</t>
  </si>
  <si>
    <t>April</t>
    <phoneticPr fontId="1"/>
  </si>
  <si>
    <t>May</t>
    <phoneticPr fontId="1"/>
  </si>
  <si>
    <t>June</t>
  </si>
  <si>
    <t>July</t>
  </si>
  <si>
    <t>August</t>
  </si>
  <si>
    <t>September</t>
  </si>
  <si>
    <t>October</t>
  </si>
  <si>
    <t>November</t>
  </si>
  <si>
    <t>December</t>
  </si>
  <si>
    <t>February</t>
  </si>
  <si>
    <t>March</t>
  </si>
  <si>
    <t>位置はうごかさないでね</t>
    <rPh sb="0" eb="2">
      <t>イチ</t>
    </rPh>
    <phoneticPr fontId="1"/>
  </si>
  <si>
    <t>つまり</t>
    <phoneticPr fontId="1"/>
  </si>
  <si>
    <t>来年は</t>
    <rPh sb="0" eb="2">
      <t>ライネン</t>
    </rPh>
    <phoneticPr fontId="1"/>
  </si>
  <si>
    <t>年</t>
    <rPh sb="0" eb="1">
      <t>ネン</t>
    </rPh>
    <phoneticPr fontId="1"/>
  </si>
  <si>
    <t>↑</t>
    <phoneticPr fontId="1"/>
  </si>
  <si>
    <t>カギがあったらロック中</t>
    <rPh sb="10" eb="11">
      <t>チュウ</t>
    </rPh>
    <phoneticPr fontId="1"/>
  </si>
  <si>
    <t>パスワード</t>
    <phoneticPr fontId="1"/>
  </si>
  <si>
    <t>管理</t>
    <rPh sb="0" eb="2">
      <t>カンリ</t>
    </rPh>
    <phoneticPr fontId="1"/>
  </si>
  <si>
    <t>設定→</t>
    <rPh sb="0" eb="2">
      <t>セッテイ</t>
    </rPh>
    <phoneticPr fontId="1"/>
  </si>
  <si>
    <t>↑文字列でよろしく</t>
    <rPh sb="1" eb="4">
      <t>モジレツ</t>
    </rPh>
    <phoneticPr fontId="1"/>
  </si>
  <si>
    <t>今年度は</t>
    <rPh sb="0" eb="3">
      <t>コンネンド</t>
    </rPh>
    <phoneticPr fontId="1"/>
  </si>
  <si>
    <t>年度です！</t>
    <rPh sb="0" eb="1">
      <t>ネン</t>
    </rPh>
    <rPh sb="1" eb="2">
      <t>ド</t>
    </rPh>
    <phoneticPr fontId="1"/>
  </si>
  <si>
    <t>↑更新したら保存→エクセル再起動</t>
    <rPh sb="1" eb="3">
      <t>コウシン</t>
    </rPh>
    <rPh sb="6" eb="8">
      <t>ホゾン</t>
    </rPh>
    <rPh sb="13" eb="16">
      <t>サイキドウ</t>
    </rPh>
    <phoneticPr fontId="1"/>
  </si>
  <si>
    <t>pass</t>
    <phoneticPr fontId="1"/>
  </si>
  <si>
    <t>島村 まなみ</t>
  </si>
  <si>
    <t>原 ひかり</t>
  </si>
  <si>
    <t>藤井 勝男</t>
  </si>
  <si>
    <t>島田 正雄</t>
  </si>
  <si>
    <t>伏見 美優</t>
  </si>
  <si>
    <t>坂田 忠</t>
  </si>
  <si>
    <t>吉田 瑞希</t>
  </si>
  <si>
    <t>佐藤 昭大</t>
  </si>
  <si>
    <t>河村 貴亮</t>
  </si>
  <si>
    <t>浜名 康</t>
  </si>
  <si>
    <t>熊代 滋弥</t>
  </si>
  <si>
    <t>鈴木 玲衣</t>
  </si>
  <si>
    <t>姫野 あかね</t>
  </si>
  <si>
    <t>植田 儀康</t>
  </si>
  <si>
    <t>秋山 瞳</t>
  </si>
  <si>
    <t>土屋 恒樹</t>
  </si>
  <si>
    <t>進藤 いずみ</t>
  </si>
  <si>
    <t>吉村 重治</t>
  </si>
  <si>
    <t>小町 慶季</t>
  </si>
  <si>
    <t>甲斐 辰基</t>
  </si>
  <si>
    <t>佐々木 絵梨</t>
  </si>
  <si>
    <t>岩瀬 道雄</t>
  </si>
  <si>
    <t>西野 凛</t>
  </si>
  <si>
    <t>稲葉 義雄</t>
  </si>
  <si>
    <t>石川 哲郎</t>
  </si>
  <si>
    <t>黒後 昇</t>
  </si>
  <si>
    <t>三村 晋一</t>
  </si>
  <si>
    <t>早坂 茂男</t>
  </si>
  <si>
    <t>古川 彩</t>
  </si>
  <si>
    <t>美藤 忍</t>
  </si>
  <si>
    <t>飯沼 進</t>
  </si>
  <si>
    <t>持田 利男</t>
  </si>
  <si>
    <t>髙良 大二郎</t>
  </si>
  <si>
    <t>稲葉 唯</t>
  </si>
  <si>
    <t>山田 福太郎</t>
  </si>
  <si>
    <t>松井 美希</t>
  </si>
  <si>
    <t>鎮目 華純</t>
  </si>
  <si>
    <t>谷沢 和美</t>
  </si>
  <si>
    <t>大嶋 希</t>
  </si>
  <si>
    <t>清水 脩也</t>
  </si>
  <si>
    <t>新井 栞</t>
  </si>
  <si>
    <t>近賀 孝広</t>
  </si>
  <si>
    <t>馬場 大輔</t>
  </si>
  <si>
    <t>矢沢 学</t>
  </si>
  <si>
    <t>竹内 勇人</t>
  </si>
  <si>
    <t>宮崎 結衣</t>
  </si>
  <si>
    <t>福 ひかる</t>
  </si>
  <si>
    <t>床井 麗奈</t>
  </si>
  <si>
    <t>工藤 利久</t>
  </si>
  <si>
    <t>美保 俊介</t>
  </si>
  <si>
    <t>高畑 美沙希</t>
  </si>
  <si>
    <t>中川 健二</t>
  </si>
  <si>
    <t>小田倉 陸人</t>
  </si>
  <si>
    <t>喜田 菜々美</t>
  </si>
  <si>
    <t>伊藤 亜希子</t>
  </si>
  <si>
    <t>玉田 みらい</t>
  </si>
  <si>
    <t>礒部 旭輝</t>
  </si>
  <si>
    <t>石嶺 正三</t>
  </si>
  <si>
    <t>國領 駿介</t>
  </si>
  <si>
    <t>溝口 哲也</t>
  </si>
  <si>
    <t>武智 七海</t>
  </si>
  <si>
    <t>岡部 忍</t>
  </si>
  <si>
    <t>薮下 有紀</t>
  </si>
  <si>
    <t>三宅 優</t>
  </si>
  <si>
    <t>木下 香菜子</t>
  </si>
  <si>
    <t>河野 朱実</t>
  </si>
  <si>
    <t>田尻 健二</t>
  </si>
  <si>
    <t>杉原 雄二</t>
  </si>
  <si>
    <t>櫻井 啓司</t>
  </si>
  <si>
    <t>中田 敦次</t>
  </si>
  <si>
    <t>島 奈央</t>
  </si>
  <si>
    <t>大熊 勉</t>
  </si>
  <si>
    <t>野田 晃多</t>
  </si>
  <si>
    <t>河合 武士</t>
  </si>
  <si>
    <t>瀬口 長栄</t>
  </si>
  <si>
    <t>田中 直人</t>
  </si>
  <si>
    <t>平野 七海</t>
  </si>
  <si>
    <t>栗澤 杏子</t>
  </si>
  <si>
    <t>東雲 南実</t>
  </si>
  <si>
    <t>小川 さりな</t>
  </si>
  <si>
    <t>小川 怜子</t>
  </si>
  <si>
    <t>杉内 あかり</t>
  </si>
  <si>
    <t>黒河 邦彌</t>
  </si>
  <si>
    <t>佐藤 翔治</t>
  </si>
  <si>
    <t>林 毅</t>
  </si>
  <si>
    <t>中村 和音</t>
  </si>
  <si>
    <t>伊東 結夏</t>
  </si>
  <si>
    <t>古屋 克弘</t>
  </si>
  <si>
    <t>後藤 友貴哉</t>
  </si>
  <si>
    <t>池野 一輝</t>
  </si>
  <si>
    <t>及川 裕次郎</t>
  </si>
  <si>
    <t>和田 康明</t>
  </si>
  <si>
    <t>清水 泰輔</t>
  </si>
  <si>
    <t>杉原 沙菜</t>
  </si>
  <si>
    <t>横山 悠太</t>
  </si>
  <si>
    <t>浦島 修</t>
  </si>
  <si>
    <t>伊藤 哲三</t>
  </si>
  <si>
    <t>堀江 みなみ</t>
  </si>
  <si>
    <t>松原 那奈</t>
  </si>
  <si>
    <t>須田 希昇</t>
  </si>
  <si>
    <t>船本 香菜子</t>
  </si>
  <si>
    <t>鈴木 勝成</t>
  </si>
  <si>
    <t>都 遼太郎</t>
  </si>
  <si>
    <t>木村 康平</t>
  </si>
  <si>
    <t>土橋 まこ</t>
  </si>
  <si>
    <t>三輪 克男</t>
  </si>
  <si>
    <t>松友 政夫</t>
  </si>
  <si>
    <t>鈴木 伸一</t>
  </si>
  <si>
    <t>堤 裕幸</t>
  </si>
  <si>
    <t>北原 一章</t>
  </si>
  <si>
    <t>比屋根 摩子</t>
  </si>
  <si>
    <t>竹内 渉</t>
  </si>
  <si>
    <t>渡辺 公平</t>
  </si>
  <si>
    <t>下田 幸造</t>
  </si>
  <si>
    <t>横山 勝利</t>
  </si>
  <si>
    <t>比嘉 もも</t>
  </si>
  <si>
    <t>長谷川 玲名</t>
  </si>
  <si>
    <t>石田 いろは</t>
  </si>
  <si>
    <t>平井 裕太朗</t>
  </si>
  <si>
    <t>市川 裕子</t>
  </si>
  <si>
    <t>井上 麗奈</t>
  </si>
  <si>
    <t>紀藤 正明</t>
  </si>
  <si>
    <t>空 憲一</t>
  </si>
  <si>
    <t>岩崎 相太郎</t>
  </si>
  <si>
    <t>青木 弘明</t>
  </si>
  <si>
    <t>武田 一成</t>
  </si>
  <si>
    <t>山崎 昌徳</t>
  </si>
  <si>
    <t>山野 かりん</t>
  </si>
  <si>
    <t>小池 いちか</t>
  </si>
  <si>
    <t>石塚 ひろみ</t>
  </si>
  <si>
    <t>琴野 尚文</t>
  </si>
  <si>
    <t>内藤 致勲</t>
  </si>
  <si>
    <t>風間 慎之介</t>
  </si>
  <si>
    <t>加々美 義行</t>
  </si>
  <si>
    <t>土井 拓巳</t>
  </si>
  <si>
    <t>上中 かんな</t>
  </si>
  <si>
    <t>清水 ゆりか</t>
  </si>
  <si>
    <t>濵田 利蔵</t>
  </si>
  <si>
    <t>野田 さゆり</t>
  </si>
  <si>
    <t>北原 信平</t>
  </si>
  <si>
    <t>杉本 直輝</t>
  </si>
  <si>
    <t>高口 梓</t>
  </si>
  <si>
    <t>平沢 壮</t>
  </si>
  <si>
    <t>根本 祐未</t>
  </si>
  <si>
    <t>松本 千尋</t>
  </si>
  <si>
    <t>秋葉 友香</t>
  </si>
  <si>
    <t>紺堂 直久</t>
  </si>
  <si>
    <t>佐野 慧美</t>
  </si>
  <si>
    <t>作道 健一</t>
  </si>
  <si>
    <t>三浦 奈菜</t>
  </si>
  <si>
    <t>111111</t>
    <phoneticPr fontId="1"/>
  </si>
  <si>
    <t>111112</t>
    <phoneticPr fontId="1"/>
  </si>
  <si>
    <t>111113</t>
  </si>
  <si>
    <t>111114</t>
  </si>
  <si>
    <t>111115</t>
  </si>
  <si>
    <t>111116</t>
  </si>
  <si>
    <t>111117</t>
  </si>
  <si>
    <t>111118</t>
  </si>
  <si>
    <t>111119</t>
  </si>
  <si>
    <t>111120</t>
  </si>
  <si>
    <t>111121</t>
  </si>
  <si>
    <t>111122</t>
  </si>
  <si>
    <t>111123</t>
  </si>
  <si>
    <t>111124</t>
  </si>
  <si>
    <t>111125</t>
  </si>
  <si>
    <t>111126</t>
  </si>
  <si>
    <t>111127</t>
  </si>
  <si>
    <t>111128</t>
  </si>
  <si>
    <t>111129</t>
  </si>
  <si>
    <t>111130</t>
  </si>
  <si>
    <t>111131</t>
  </si>
  <si>
    <t>111132</t>
  </si>
  <si>
    <t>111133</t>
  </si>
  <si>
    <t>111134</t>
  </si>
  <si>
    <t>111135</t>
  </si>
  <si>
    <t>111136</t>
  </si>
  <si>
    <t>111137</t>
  </si>
  <si>
    <t>111138</t>
  </si>
  <si>
    <t>111139</t>
  </si>
  <si>
    <t>111140</t>
  </si>
  <si>
    <t>111141</t>
  </si>
  <si>
    <t>111142</t>
  </si>
  <si>
    <t>111143</t>
  </si>
  <si>
    <t>111144</t>
  </si>
  <si>
    <t>111145</t>
  </si>
  <si>
    <t>111146</t>
  </si>
  <si>
    <t>111147</t>
  </si>
  <si>
    <t>111148</t>
  </si>
  <si>
    <t>111149</t>
  </si>
  <si>
    <t>111150</t>
  </si>
  <si>
    <t>111151</t>
  </si>
  <si>
    <t>111152</t>
  </si>
  <si>
    <t>111153</t>
  </si>
  <si>
    <t>111154</t>
  </si>
  <si>
    <t>111155</t>
  </si>
  <si>
    <t>111156</t>
  </si>
  <si>
    <t>111157</t>
  </si>
  <si>
    <t>111158</t>
  </si>
  <si>
    <t>111159</t>
  </si>
  <si>
    <t>111160</t>
  </si>
  <si>
    <t>111161</t>
  </si>
  <si>
    <t>111162</t>
  </si>
  <si>
    <t>111163</t>
  </si>
  <si>
    <t>111164</t>
  </si>
  <si>
    <t>111165</t>
  </si>
  <si>
    <t>111166</t>
  </si>
  <si>
    <t>111167</t>
  </si>
  <si>
    <t>111168</t>
  </si>
  <si>
    <t>111169</t>
  </si>
  <si>
    <t>111170</t>
  </si>
  <si>
    <t>111171</t>
  </si>
  <si>
    <t>111172</t>
  </si>
  <si>
    <t>111173</t>
  </si>
  <si>
    <t>111174</t>
  </si>
  <si>
    <t>111175</t>
  </si>
  <si>
    <t>111176</t>
  </si>
  <si>
    <t>111177</t>
  </si>
  <si>
    <t>111178</t>
  </si>
  <si>
    <t>111179</t>
  </si>
  <si>
    <t>111180</t>
  </si>
  <si>
    <t>111181</t>
  </si>
  <si>
    <t>111182</t>
  </si>
  <si>
    <t>111183</t>
  </si>
  <si>
    <t>111184</t>
  </si>
  <si>
    <t>111185</t>
  </si>
  <si>
    <t>111186</t>
  </si>
  <si>
    <t>111187</t>
  </si>
  <si>
    <t>111188</t>
  </si>
  <si>
    <t>111189</t>
  </si>
  <si>
    <t>111190</t>
  </si>
  <si>
    <t>111191</t>
  </si>
  <si>
    <t>111192</t>
  </si>
  <si>
    <t>111193</t>
  </si>
  <si>
    <t>111194</t>
  </si>
  <si>
    <t>111195</t>
  </si>
  <si>
    <t>111196</t>
  </si>
  <si>
    <t>111197</t>
  </si>
  <si>
    <t>111198</t>
  </si>
  <si>
    <t>111199</t>
  </si>
  <si>
    <t>111200</t>
  </si>
  <si>
    <t>111201</t>
  </si>
  <si>
    <t>111202</t>
  </si>
  <si>
    <t>111203</t>
  </si>
  <si>
    <t>111204</t>
  </si>
  <si>
    <t>111205</t>
  </si>
  <si>
    <t>111206</t>
  </si>
  <si>
    <t>111207</t>
  </si>
  <si>
    <t>111208</t>
  </si>
  <si>
    <t>111209</t>
  </si>
  <si>
    <t>111210</t>
  </si>
  <si>
    <t>111211</t>
  </si>
  <si>
    <t>111212</t>
  </si>
  <si>
    <t>111213</t>
  </si>
  <si>
    <t>111214</t>
  </si>
  <si>
    <t>111215</t>
  </si>
  <si>
    <t>111216</t>
  </si>
  <si>
    <t>111217</t>
  </si>
  <si>
    <t>111218</t>
  </si>
  <si>
    <t>111219</t>
  </si>
  <si>
    <t>111220</t>
  </si>
  <si>
    <t>111221</t>
  </si>
  <si>
    <t>111222</t>
  </si>
  <si>
    <t>111223</t>
  </si>
  <si>
    <t>111224</t>
  </si>
  <si>
    <t>111225</t>
  </si>
  <si>
    <t>111226</t>
  </si>
  <si>
    <t>111227</t>
  </si>
  <si>
    <t>111228</t>
  </si>
  <si>
    <t>111229</t>
  </si>
  <si>
    <t>111230</t>
  </si>
  <si>
    <t>111231</t>
  </si>
  <si>
    <t>111232</t>
  </si>
  <si>
    <t>111233</t>
  </si>
  <si>
    <t>111234</t>
  </si>
  <si>
    <t>111235</t>
  </si>
  <si>
    <t>111236</t>
  </si>
  <si>
    <t>111237</t>
  </si>
  <si>
    <t>111238</t>
  </si>
  <si>
    <t>111239</t>
  </si>
  <si>
    <t>111240</t>
  </si>
  <si>
    <t>111241</t>
  </si>
  <si>
    <t>111242</t>
  </si>
  <si>
    <t>111243</t>
  </si>
  <si>
    <t>111244</t>
  </si>
  <si>
    <t>111245</t>
  </si>
  <si>
    <t>111246</t>
  </si>
  <si>
    <t>111247</t>
  </si>
  <si>
    <t>111248</t>
  </si>
  <si>
    <t>111249</t>
  </si>
  <si>
    <t>111250</t>
  </si>
  <si>
    <t>111251</t>
  </si>
  <si>
    <t>111252</t>
  </si>
  <si>
    <t>111253</t>
  </si>
  <si>
    <t>111254</t>
  </si>
  <si>
    <t>111255</t>
  </si>
  <si>
    <t>111256</t>
  </si>
  <si>
    <t>111257</t>
  </si>
  <si>
    <t>111258</t>
  </si>
  <si>
    <t>111259</t>
  </si>
  <si>
    <t>111260</t>
  </si>
  <si>
    <t>Programmed by RS2324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</si>
</sst>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 applyAlignment="1">
      <alignment horizontal="center" vertical="center"/>
    </xf>
    <xf numFmtId="0" fontId="0" fillId="3" borderId="1" xfId="0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>
      <alignment vertical="center"/>
    </xf>
    <xf numFmtId="176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>
      <alignment vertical="center"/>
    </xf>
    <xf numFmtId="176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7" xfId="0" applyBorder="1" applyAlignment="1">
      <alignment horizontal="right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right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" xfId="0" applyBorder="1">
      <alignment vertical="center"/>
    </xf>
    <xf numFmtId="14" fontId="0" fillId="2" borderId="3" xfId="0" applyNumberFormat="1" applyFill="1" applyBorder="1" applyProtection="1">
      <alignment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Protection="1">
      <alignment vertical="center"/>
      <protection locked="0"/>
    </xf>
    <xf numFmtId="49" fontId="0" fillId="2" borderId="3" xfId="0" applyNumberFormat="1" applyFill="1" applyBorder="1" applyProtection="1">
      <alignment vertical="center"/>
      <protection locked="0"/>
    </xf>
    <xf numFmtId="0" fontId="0" fillId="2" borderId="1" xfId="0" applyFill="1" applyBorder="1">
      <alignment vertical="center"/>
    </xf>
    <xf numFmtId="49" fontId="0" fillId="2" borderId="1" xfId="0" applyNumberFormat="1" applyFill="1" applyBorder="1" applyAlignment="1">
      <alignment horizontal="center" vertical="center"/>
    </xf>
  </cellXfs>
  <cellStyles count="3">
    <cellStyle name="桁区切り 2" xfId="2" xr:uid="{00000000-0005-0000-0000-000000000000}"/>
    <cellStyle name="標準" xfId="0" builtinId="0"/>
    <cellStyle name="標準 2" xfId="1" xr:uid="{00000000-0005-0000-0000-000002000000}"/>
  </cellStyles>
  <dxfs count="1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98778</xdr:colOff>
      <xdr:row>8</xdr:row>
      <xdr:rowOff>239888</xdr:rowOff>
    </xdr:from>
    <xdr:to>
      <xdr:col>3</xdr:col>
      <xdr:colOff>543279</xdr:colOff>
      <xdr:row>13</xdr:row>
      <xdr:rowOff>24693</xdr:rowOff>
    </xdr:to>
    <xdr:sp macro="[0]!main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6695" y="2187221"/>
          <a:ext cx="2307167" cy="1001889"/>
        </a:xfrm>
        <a:prstGeom prst="rightArrow">
          <a:avLst/>
        </a:prstGeom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tx1"/>
              </a:solidFill>
            </a:rPr>
            <a:t>登録</a:t>
          </a:r>
          <a:endParaRPr kumimoji="1" lang="en-US" altLang="ja-JP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582083</xdr:colOff>
      <xdr:row>0</xdr:row>
      <xdr:rowOff>211667</xdr:rowOff>
    </xdr:from>
    <xdr:to>
      <xdr:col>7</xdr:col>
      <xdr:colOff>306917</xdr:colOff>
      <xdr:row>3</xdr:row>
      <xdr:rowOff>222250</xdr:rowOff>
    </xdr:to>
    <xdr:sp macro="" textlink="">
      <xdr:nvSpPr>
        <xdr:cNvPr id="2" name="角丸四角形吹き出し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32666" y="211667"/>
          <a:ext cx="2476501" cy="740833"/>
        </a:xfrm>
        <a:prstGeom prst="wedgeRoundRectCallout">
          <a:avLst>
            <a:gd name="adj1" fmla="val -62123"/>
            <a:gd name="adj2" fmla="val 32500"/>
            <a:gd name="adj3" fmla="val 16667"/>
          </a:avLst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1994/1/29</a:t>
          </a:r>
          <a:br>
            <a:rPr kumimoji="1" lang="en-US" altLang="ja-JP" sz="1100">
              <a:solidFill>
                <a:schemeClr val="tx1"/>
              </a:solidFill>
            </a:rPr>
          </a:br>
          <a:r>
            <a:rPr kumimoji="1" lang="ja-JP" altLang="en-US" sz="1100">
              <a:solidFill>
                <a:schemeClr val="tx1"/>
              </a:solidFill>
            </a:rPr>
            <a:t>↑のような形で入力する（半角）</a:t>
          </a:r>
        </a:p>
      </xdr:txBody>
    </xdr:sp>
    <xdr:clientData/>
  </xdr:twoCellAnchor>
  <xdr:twoCellAnchor>
    <xdr:from>
      <xdr:col>11</xdr:col>
      <xdr:colOff>342194</xdr:colOff>
      <xdr:row>7</xdr:row>
      <xdr:rowOff>109361</xdr:rowOff>
    </xdr:from>
    <xdr:to>
      <xdr:col>14</xdr:col>
      <xdr:colOff>88193</xdr:colOff>
      <xdr:row>11</xdr:row>
      <xdr:rowOff>144639</xdr:rowOff>
    </xdr:to>
    <xdr:sp macro="[0]!LockAndHide" textlink="">
      <xdr:nvSpPr>
        <xdr:cNvPr id="4" name="フローチャート: 代替処理 3">
          <a:extLst>
            <a:ext uri="{FF2B5EF4-FFF2-40B4-BE49-F238E27FC236}">
              <a16:creationId xmlns:a16="http://schemas.microsoft.com/office/drawing/2014/main" id="{581467FD-57B0-4ACD-B5DC-775C4C59C32A}"/>
            </a:ext>
          </a:extLst>
        </xdr:cNvPr>
        <xdr:cNvSpPr/>
      </xdr:nvSpPr>
      <xdr:spPr>
        <a:xfrm>
          <a:off x="8396111" y="1813278"/>
          <a:ext cx="1809749" cy="1008944"/>
        </a:xfrm>
        <a:prstGeom prst="flowChartAlternateProcess">
          <a:avLst/>
        </a:prstGeom>
        <a:solidFill>
          <a:schemeClr val="accent3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管理職用：</a:t>
          </a:r>
          <a:endParaRPr kumimoji="1" lang="en-US" altLang="ja-JP" sz="1400"/>
        </a:p>
        <a:p>
          <a:pPr algn="ctr"/>
          <a:r>
            <a:rPr kumimoji="1" lang="ja-JP" altLang="en-US" sz="1400"/>
            <a:t>ロック＆隠す</a:t>
          </a:r>
          <a:endParaRPr kumimoji="1" lang="en-US" altLang="ja-JP" sz="1400"/>
        </a:p>
      </xdr:txBody>
    </xdr:sp>
    <xdr:clientData/>
  </xdr:twoCellAnchor>
  <xdr:twoCellAnchor>
    <xdr:from>
      <xdr:col>11</xdr:col>
      <xdr:colOff>349249</xdr:colOff>
      <xdr:row>2</xdr:row>
      <xdr:rowOff>45862</xdr:rowOff>
    </xdr:from>
    <xdr:to>
      <xdr:col>14</xdr:col>
      <xdr:colOff>52915</xdr:colOff>
      <xdr:row>6</xdr:row>
      <xdr:rowOff>81139</xdr:rowOff>
    </xdr:to>
    <xdr:sp macro="[0]!UnlockAndShow" textlink="">
      <xdr:nvSpPr>
        <xdr:cNvPr id="5" name="フローチャート: 代替処理 4">
          <a:extLst>
            <a:ext uri="{FF2B5EF4-FFF2-40B4-BE49-F238E27FC236}">
              <a16:creationId xmlns:a16="http://schemas.microsoft.com/office/drawing/2014/main" id="{01423288-F9CE-4050-BFCB-C25D9DA0E116}"/>
            </a:ext>
          </a:extLst>
        </xdr:cNvPr>
        <xdr:cNvSpPr/>
      </xdr:nvSpPr>
      <xdr:spPr>
        <a:xfrm>
          <a:off x="8403166" y="532695"/>
          <a:ext cx="1767416" cy="1008944"/>
        </a:xfrm>
        <a:prstGeom prst="flowChartAlternateProcess">
          <a:avLst/>
        </a:prstGeom>
        <a:solidFill>
          <a:schemeClr val="accent3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管理職用：</a:t>
          </a:r>
          <a:endParaRPr kumimoji="1" lang="en-US" altLang="ja-JP" sz="1400"/>
        </a:p>
        <a:p>
          <a:pPr algn="ctr"/>
          <a:r>
            <a:rPr kumimoji="1" lang="ja-JP" altLang="en-US" sz="1400"/>
            <a:t>アンロック＆表示</a:t>
          </a:r>
          <a:endParaRPr kumimoji="1" lang="en-US" altLang="ja-JP" sz="1400"/>
        </a:p>
      </xdr:txBody>
    </xdr:sp>
    <xdr:clientData/>
  </xdr:twoCellAnchor>
  <xdr:twoCellAnchor editAs="oneCell">
    <xdr:from>
      <xdr:col>8</xdr:col>
      <xdr:colOff>508000</xdr:colOff>
      <xdr:row>4</xdr:row>
      <xdr:rowOff>98027</xdr:rowOff>
    </xdr:from>
    <xdr:to>
      <xdr:col>10</xdr:col>
      <xdr:colOff>186974</xdr:colOff>
      <xdr:row>9</xdr:row>
      <xdr:rowOff>2470</xdr:rowOff>
    </xdr:to>
    <xdr:pic>
      <xdr:nvPicPr>
        <xdr:cNvPr id="7" name="padlock">
          <a:extLst>
            <a:ext uri="{FF2B5EF4-FFF2-40B4-BE49-F238E27FC236}">
              <a16:creationId xmlns:a16="http://schemas.microsoft.com/office/drawing/2014/main" id="{10F1BD20-EDF4-4B45-AFA6-C34EB9620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8167" y="1071694"/>
          <a:ext cx="1054807" cy="1121526"/>
        </a:xfrm>
        <a:prstGeom prst="rect">
          <a:avLst/>
        </a:prstGeom>
      </xdr:spPr>
    </xdr:pic>
    <xdr:clientData/>
  </xdr:twoCellAnchor>
  <xdr:twoCellAnchor>
    <xdr:from>
      <xdr:col>3</xdr:col>
      <xdr:colOff>607483</xdr:colOff>
      <xdr:row>4</xdr:row>
      <xdr:rowOff>120649</xdr:rowOff>
    </xdr:from>
    <xdr:to>
      <xdr:col>7</xdr:col>
      <xdr:colOff>332317</xdr:colOff>
      <xdr:row>5</xdr:row>
      <xdr:rowOff>190500</xdr:rowOff>
    </xdr:to>
    <xdr:sp macro="" textlink="">
      <xdr:nvSpPr>
        <xdr:cNvPr id="8" name="角丸四角形吹き出し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58066" y="1094316"/>
          <a:ext cx="2476501" cy="313267"/>
        </a:xfrm>
        <a:prstGeom prst="wedgeRoundRectCallout">
          <a:avLst>
            <a:gd name="adj1" fmla="val -62123"/>
            <a:gd name="adj2" fmla="val 32500"/>
            <a:gd name="adj3" fmla="val 16667"/>
          </a:avLst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リストから選択する</a:t>
          </a:r>
        </a:p>
      </xdr:txBody>
    </xdr:sp>
    <xdr:clientData/>
  </xdr:twoCellAnchor>
  <xdr:twoCellAnchor>
    <xdr:from>
      <xdr:col>3</xdr:col>
      <xdr:colOff>601133</xdr:colOff>
      <xdr:row>6</xdr:row>
      <xdr:rowOff>146049</xdr:rowOff>
    </xdr:from>
    <xdr:to>
      <xdr:col>7</xdr:col>
      <xdr:colOff>325967</xdr:colOff>
      <xdr:row>7</xdr:row>
      <xdr:rowOff>215899</xdr:rowOff>
    </xdr:to>
    <xdr:sp macro="" textlink="">
      <xdr:nvSpPr>
        <xdr:cNvPr id="10" name="角丸四角形吹き出し 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51716" y="1606549"/>
          <a:ext cx="2476501" cy="313267"/>
        </a:xfrm>
        <a:prstGeom prst="wedgeRoundRectCallout">
          <a:avLst>
            <a:gd name="adj1" fmla="val -62123"/>
            <a:gd name="adj2" fmla="val 32500"/>
            <a:gd name="adj3" fmla="val 16667"/>
          </a:avLst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半角数字で入力する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1"/>
  <sheetViews>
    <sheetView tabSelected="1" zoomScale="90" workbookViewId="0">
      <selection activeCell="H12" sqref="H12"/>
    </sheetView>
  </sheetViews>
  <sheetFormatPr defaultRowHeight="18.75" x14ac:dyDescent="0.4"/>
  <cols>
    <col min="2" max="2" width="11.375" customWidth="1"/>
    <col min="3" max="3" width="13" bestFit="1" customWidth="1"/>
  </cols>
  <sheetData>
    <row r="1" spans="2:11" x14ac:dyDescent="0.4">
      <c r="K1" t="s">
        <v>351</v>
      </c>
    </row>
    <row r="2" spans="2:11" x14ac:dyDescent="0.4">
      <c r="B2" t="s">
        <v>17</v>
      </c>
    </row>
    <row r="3" spans="2:11" ht="19.5" thickBot="1" x14ac:dyDescent="0.45"/>
    <row r="4" spans="2:11" ht="19.5" thickBot="1" x14ac:dyDescent="0.45">
      <c r="B4" s="1" t="s">
        <v>22</v>
      </c>
      <c r="C4" s="43"/>
    </row>
    <row r="5" spans="2:11" ht="19.5" thickBot="1" x14ac:dyDescent="0.45">
      <c r="B5" s="1"/>
    </row>
    <row r="6" spans="2:11" ht="19.5" thickBot="1" x14ac:dyDescent="0.45">
      <c r="B6" s="1" t="s">
        <v>23</v>
      </c>
      <c r="C6" s="44"/>
    </row>
    <row r="7" spans="2:11" ht="19.5" thickBot="1" x14ac:dyDescent="0.45">
      <c r="B7" s="1"/>
    </row>
    <row r="8" spans="2:11" ht="19.5" thickBot="1" x14ac:dyDescent="0.45">
      <c r="B8" s="1" t="s">
        <v>21</v>
      </c>
      <c r="C8" s="45"/>
    </row>
    <row r="10" spans="2:11" x14ac:dyDescent="0.4">
      <c r="J10" s="2" t="s">
        <v>41</v>
      </c>
    </row>
    <row r="11" spans="2:11" x14ac:dyDescent="0.4">
      <c r="J11" t="s">
        <v>42</v>
      </c>
    </row>
  </sheetData>
  <sheetProtection algorithmName="SHA-512" hashValue="qEnJi3UNCHx++IGy6pwnSpD01wBCc0WwIe9Gv/Vku790TKNrkUXxsgV4wwNuIeTckUABJMn/8O01sKY13oALVg==" saltValue="D0t8hJrnKeT6bZtJVelhNg==" spinCount="100000" sheet="1" objects="1" scenarios="1"/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ID!$C$4:$C$208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H208"/>
  <sheetViews>
    <sheetView workbookViewId="0">
      <selection activeCell="F14" sqref="F14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IF(config!J3&lt;&gt;"",DATE($A$2,$A$4,config!J3),"")</f>
        <v>45383</v>
      </c>
      <c r="E1" s="9">
        <f>IF(config!K3&lt;&gt;"",DATE($A$2,$A$4,config!K3),"")</f>
        <v>45384</v>
      </c>
      <c r="F1" s="9">
        <f>IF(config!L3&lt;&gt;"",DATE($A$2,$A$4,config!L3),"")</f>
        <v>45385</v>
      </c>
      <c r="G1" s="9">
        <f>IF(config!M3&lt;&gt;"",DATE($A$2,$A$4,config!M3),"")</f>
        <v>45386</v>
      </c>
      <c r="H1" s="10">
        <f>IF(config!N3&lt;&gt;"",DATE($A$2,$A$4,config!N3),"")</f>
        <v>45387</v>
      </c>
      <c r="I1" s="16">
        <f>IF(config!O3&lt;&gt;"",DATE($A$2,$A$4,config!O3),"")</f>
        <v>45388</v>
      </c>
      <c r="J1" s="9">
        <f>IF(config!P3&lt;&gt;"",DATE($A$2,$A$4,config!P3),"")</f>
        <v>45389</v>
      </c>
      <c r="K1" s="9">
        <f>IF(config!Q3&lt;&gt;"",DATE($A$2,$A$4,config!Q3),"")</f>
        <v>45390</v>
      </c>
      <c r="L1" s="9">
        <f>IF(config!R3&lt;&gt;"",DATE($A$2,$A$4,config!R3),"")</f>
        <v>45391</v>
      </c>
      <c r="M1" s="27">
        <f>IF(config!S3&lt;&gt;"",DATE($A$2,$A$4,config!S3),"")</f>
        <v>45392</v>
      </c>
      <c r="N1" s="20">
        <f>IF(config!T3&lt;&gt;"",DATE($A$2,$A$4,config!T3),"")</f>
        <v>45393</v>
      </c>
      <c r="O1" s="9">
        <f>IF(config!U3&lt;&gt;"",DATE($A$2,$A$4,config!U3),"")</f>
        <v>45394</v>
      </c>
      <c r="P1" s="9">
        <f>IF(config!V3&lt;&gt;"",DATE($A$2,$A$4,config!V3),"")</f>
        <v>45395</v>
      </c>
      <c r="Q1" s="9">
        <f>IF(config!W3&lt;&gt;"",DATE($A$2,$A$4,config!W3),"")</f>
        <v>45396</v>
      </c>
      <c r="R1" s="10">
        <f>IF(config!X3&lt;&gt;"",DATE($A$2,$A$4,config!X3),"")</f>
        <v>45397</v>
      </c>
      <c r="S1" s="16">
        <f>IF(config!Y3&lt;&gt;"",DATE($A$2,$A$4,config!Y3),"")</f>
        <v>45398</v>
      </c>
      <c r="T1" s="9">
        <f>IF(config!Z3&lt;&gt;"",DATE($A$2,$A$4,config!Z3),"")</f>
        <v>45399</v>
      </c>
      <c r="U1" s="9">
        <f>IF(config!AA3&lt;&gt;"",DATE($A$2,$A$4,config!AA3),"")</f>
        <v>45400</v>
      </c>
      <c r="V1" s="9">
        <f>IF(config!AB3&lt;&gt;"",DATE($A$2,$A$4,config!AB3),"")</f>
        <v>45401</v>
      </c>
      <c r="W1" s="27">
        <f>IF(config!AC3&lt;&gt;"",DATE($A$2,$A$4,config!AC3),"")</f>
        <v>45402</v>
      </c>
      <c r="X1" s="20">
        <f>IF(config!AD3&lt;&gt;"",DATE($A$2,$A$4,config!AD3),"")</f>
        <v>45403</v>
      </c>
      <c r="Y1" s="9">
        <f>IF(config!AE3&lt;&gt;"",DATE($A$2,$A$4,config!AE3),"")</f>
        <v>45404</v>
      </c>
      <c r="Z1" s="9">
        <f>IF(config!AF3&lt;&gt;"",DATE($A$2,$A$4,config!AF3),"")</f>
        <v>45405</v>
      </c>
      <c r="AA1" s="9">
        <f>IF(config!AG3&lt;&gt;"",DATE($A$2,$A$4,config!AG3),"")</f>
        <v>45406</v>
      </c>
      <c r="AB1" s="10">
        <f>IF(config!AH3&lt;&gt;"",DATE($A$2,$A$4,config!AH3),"")</f>
        <v>45407</v>
      </c>
      <c r="AC1" s="16">
        <f>IF(config!AI3&lt;&gt;"",DATE($A$2,$A$4,config!AI3),"")</f>
        <v>45408</v>
      </c>
      <c r="AD1" s="9">
        <f>IF(config!AJ3&lt;&gt;"",DATE($A$2,$A$4,config!AJ3),"")</f>
        <v>45409</v>
      </c>
      <c r="AE1" s="9">
        <f>IF(config!AK3&lt;&gt;"",DATE($A$2,$A$4,config!AK3),"")</f>
        <v>45410</v>
      </c>
      <c r="AF1" s="9">
        <f>IF(config!AL3&lt;&gt;"",DATE($A$2,$A$4,config!AL3),"")</f>
        <v>45411</v>
      </c>
      <c r="AG1" s="27">
        <f>IF(config!AM3&lt;&gt;"",DATE($A$2,$A$4,config!AM3),"")</f>
        <v>45412</v>
      </c>
      <c r="AH1" s="30" t="str">
        <f>IF(config!AN3&lt;&gt;"",DATE($A$2,$A$4,config!AN3),"")</f>
        <v/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月</v>
      </c>
      <c r="E2" s="12" t="str">
        <f t="shared" ref="E2:AH2" si="0">IF(COUNTIF(E3,1),"祝",TEXT(E1,"aaa"))</f>
        <v>火</v>
      </c>
      <c r="F2" s="12" t="str">
        <f t="shared" si="0"/>
        <v>水</v>
      </c>
      <c r="G2" s="12" t="str">
        <f t="shared" si="0"/>
        <v>木</v>
      </c>
      <c r="H2" s="13" t="str">
        <f t="shared" si="0"/>
        <v>金</v>
      </c>
      <c r="I2" s="17" t="str">
        <f t="shared" si="0"/>
        <v>土</v>
      </c>
      <c r="J2" s="12" t="str">
        <f t="shared" si="0"/>
        <v>日</v>
      </c>
      <c r="K2" s="12" t="str">
        <f t="shared" si="0"/>
        <v>月</v>
      </c>
      <c r="L2" s="12" t="str">
        <f t="shared" si="0"/>
        <v>火</v>
      </c>
      <c r="M2" s="14" t="str">
        <f t="shared" si="0"/>
        <v>水</v>
      </c>
      <c r="N2" s="11" t="str">
        <f t="shared" si="0"/>
        <v>木</v>
      </c>
      <c r="O2" s="12" t="str">
        <f t="shared" si="0"/>
        <v>金</v>
      </c>
      <c r="P2" s="12" t="str">
        <f t="shared" si="0"/>
        <v>土</v>
      </c>
      <c r="Q2" s="12" t="str">
        <f t="shared" si="0"/>
        <v>日</v>
      </c>
      <c r="R2" s="13" t="str">
        <f t="shared" si="0"/>
        <v>月</v>
      </c>
      <c r="S2" s="17" t="str">
        <f t="shared" si="0"/>
        <v>火</v>
      </c>
      <c r="T2" s="12" t="str">
        <f t="shared" si="0"/>
        <v>水</v>
      </c>
      <c r="U2" s="12" t="str">
        <f t="shared" si="0"/>
        <v>木</v>
      </c>
      <c r="V2" s="12" t="str">
        <f t="shared" si="0"/>
        <v>金</v>
      </c>
      <c r="W2" s="14" t="str">
        <f t="shared" si="0"/>
        <v>土</v>
      </c>
      <c r="X2" s="11" t="str">
        <f t="shared" si="0"/>
        <v>日</v>
      </c>
      <c r="Y2" s="12" t="str">
        <f t="shared" si="0"/>
        <v>月</v>
      </c>
      <c r="Z2" s="12" t="str">
        <f t="shared" si="0"/>
        <v>火</v>
      </c>
      <c r="AA2" s="12" t="str">
        <f t="shared" si="0"/>
        <v>水</v>
      </c>
      <c r="AB2" s="13" t="str">
        <f t="shared" si="0"/>
        <v>木</v>
      </c>
      <c r="AC2" s="17" t="str">
        <f t="shared" si="0"/>
        <v>金</v>
      </c>
      <c r="AD2" s="12" t="str">
        <f t="shared" si="0"/>
        <v>土</v>
      </c>
      <c r="AE2" s="12" t="str">
        <f t="shared" si="0"/>
        <v>日</v>
      </c>
      <c r="AF2" s="12" t="str">
        <f t="shared" si="0"/>
        <v>月</v>
      </c>
      <c r="AG2" s="14" t="str">
        <f t="shared" si="0"/>
        <v>火</v>
      </c>
      <c r="AH2" s="31" t="str">
        <f t="shared" si="0"/>
        <v/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4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>／</v>
      </c>
      <c r="J4" s="7" t="str">
        <f t="shared" si="1"/>
        <v>／</v>
      </c>
      <c r="K4" s="7" t="str">
        <f t="shared" si="1"/>
        <v/>
      </c>
      <c r="L4" s="7" t="str">
        <f t="shared" si="1"/>
        <v/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>／</v>
      </c>
      <c r="Q4" s="7" t="str">
        <f t="shared" si="1"/>
        <v>／</v>
      </c>
      <c r="R4" s="22" t="str">
        <f t="shared" si="1"/>
        <v/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>／</v>
      </c>
      <c r="X4" s="21" t="str">
        <f t="shared" si="2"/>
        <v>／</v>
      </c>
      <c r="Y4" s="7" t="str">
        <f t="shared" si="2"/>
        <v/>
      </c>
      <c r="Z4" s="7" t="str">
        <f t="shared" si="2"/>
        <v/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>／</v>
      </c>
      <c r="AE4" s="7" t="str">
        <f t="shared" si="2"/>
        <v>／</v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>／</v>
      </c>
      <c r="J5" s="3" t="str">
        <f t="shared" si="1"/>
        <v>／</v>
      </c>
      <c r="K5" s="3" t="str">
        <f t="shared" si="1"/>
        <v/>
      </c>
      <c r="L5" s="3" t="str">
        <f t="shared" si="1"/>
        <v/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>／</v>
      </c>
      <c r="Q5" s="3" t="str">
        <f t="shared" si="1"/>
        <v>／</v>
      </c>
      <c r="R5" s="24" t="str">
        <f t="shared" si="1"/>
        <v/>
      </c>
      <c r="S5" s="19" t="str">
        <f t="shared" si="1"/>
        <v/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>／</v>
      </c>
      <c r="X5" s="23" t="str">
        <f t="shared" si="2"/>
        <v>／</v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>／</v>
      </c>
      <c r="AE5" s="3" t="str">
        <f t="shared" si="2"/>
        <v>／</v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m+XVSdnOTjX9nbhYVXjl6YlSeZk5PijTZHW72yU8jHfZhJ706OWgJuPnIVrev0CRqgNWd21MIiBF/e87qfs6Nw==" saltValue="KQ6h0OmBy8GZ/vz2i9OCXw==" spinCount="100000" sheet="1" objects="1" scenarios="1"/>
  <phoneticPr fontId="1"/>
  <conditionalFormatting sqref="D1:AH1048576">
    <cfRule type="expression" dxfId="11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H208"/>
  <sheetViews>
    <sheetView workbookViewId="0">
      <selection activeCell="A2" sqref="A2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IF(config!J4&lt;&gt;"",DATE($A$2,$A$4,config!J4),"")</f>
        <v>45413</v>
      </c>
      <c r="E1" s="9">
        <f>IF(config!K4&lt;&gt;"",DATE($A$2,$A$4,config!K4),"")</f>
        <v>45414</v>
      </c>
      <c r="F1" s="9">
        <f>IF(config!L4&lt;&gt;"",DATE($A$2,$A$4,config!L4),"")</f>
        <v>45415</v>
      </c>
      <c r="G1" s="9">
        <f>IF(config!M4&lt;&gt;"",DATE($A$2,$A$4,config!M4),"")</f>
        <v>45416</v>
      </c>
      <c r="H1" s="10">
        <f>IF(config!N4&lt;&gt;"",DATE($A$2,$A$4,config!N4),"")</f>
        <v>45417</v>
      </c>
      <c r="I1" s="16">
        <f>IF(config!O4&lt;&gt;"",DATE($A$2,$A$4,config!O4),"")</f>
        <v>45418</v>
      </c>
      <c r="J1" s="9">
        <f>IF(config!P4&lt;&gt;"",DATE($A$2,$A$4,config!P4),"")</f>
        <v>45419</v>
      </c>
      <c r="K1" s="9">
        <f>IF(config!Q4&lt;&gt;"",DATE($A$2,$A$4,config!Q4),"")</f>
        <v>45420</v>
      </c>
      <c r="L1" s="9">
        <f>IF(config!R4&lt;&gt;"",DATE($A$2,$A$4,config!R4),"")</f>
        <v>45421</v>
      </c>
      <c r="M1" s="27">
        <f>IF(config!S4&lt;&gt;"",DATE($A$2,$A$4,config!S4),"")</f>
        <v>45422</v>
      </c>
      <c r="N1" s="20">
        <f>IF(config!T4&lt;&gt;"",DATE($A$2,$A$4,config!T4),"")</f>
        <v>45423</v>
      </c>
      <c r="O1" s="9">
        <f>IF(config!U4&lt;&gt;"",DATE($A$2,$A$4,config!U4),"")</f>
        <v>45424</v>
      </c>
      <c r="P1" s="9">
        <f>IF(config!V4&lt;&gt;"",DATE($A$2,$A$4,config!V4),"")</f>
        <v>45425</v>
      </c>
      <c r="Q1" s="9">
        <f>IF(config!W4&lt;&gt;"",DATE($A$2,$A$4,config!W4),"")</f>
        <v>45426</v>
      </c>
      <c r="R1" s="10">
        <f>IF(config!X4&lt;&gt;"",DATE($A$2,$A$4,config!X4),"")</f>
        <v>45427</v>
      </c>
      <c r="S1" s="16">
        <f>IF(config!Y4&lt;&gt;"",DATE($A$2,$A$4,config!Y4),"")</f>
        <v>45428</v>
      </c>
      <c r="T1" s="9">
        <f>IF(config!Z4&lt;&gt;"",DATE($A$2,$A$4,config!Z4),"")</f>
        <v>45429</v>
      </c>
      <c r="U1" s="9">
        <f>IF(config!AA4&lt;&gt;"",DATE($A$2,$A$4,config!AA4),"")</f>
        <v>45430</v>
      </c>
      <c r="V1" s="9">
        <f>IF(config!AB4&lt;&gt;"",DATE($A$2,$A$4,config!AB4),"")</f>
        <v>45431</v>
      </c>
      <c r="W1" s="27">
        <f>IF(config!AC4&lt;&gt;"",DATE($A$2,$A$4,config!AC4),"")</f>
        <v>45432</v>
      </c>
      <c r="X1" s="20">
        <f>IF(config!AD4&lt;&gt;"",DATE($A$2,$A$4,config!AD4),"")</f>
        <v>45433</v>
      </c>
      <c r="Y1" s="9">
        <f>IF(config!AE4&lt;&gt;"",DATE($A$2,$A$4,config!AE4),"")</f>
        <v>45434</v>
      </c>
      <c r="Z1" s="9">
        <f>IF(config!AF4&lt;&gt;"",DATE($A$2,$A$4,config!AF4),"")</f>
        <v>45435</v>
      </c>
      <c r="AA1" s="9">
        <f>IF(config!AG4&lt;&gt;"",DATE($A$2,$A$4,config!AG4),"")</f>
        <v>45436</v>
      </c>
      <c r="AB1" s="10">
        <f>IF(config!AH4&lt;&gt;"",DATE($A$2,$A$4,config!AH4),"")</f>
        <v>45437</v>
      </c>
      <c r="AC1" s="16">
        <f>IF(config!AI4&lt;&gt;"",DATE($A$2,$A$4,config!AI4),"")</f>
        <v>45438</v>
      </c>
      <c r="AD1" s="9">
        <f>IF(config!AJ4&lt;&gt;"",DATE($A$2,$A$4,config!AJ4),"")</f>
        <v>45439</v>
      </c>
      <c r="AE1" s="9">
        <f>IF(config!AK4&lt;&gt;"",DATE($A$2,$A$4,config!AK4),"")</f>
        <v>45440</v>
      </c>
      <c r="AF1" s="9">
        <f>IF(config!AL4&lt;&gt;"",DATE($A$2,$A$4,config!AL4),"")</f>
        <v>45441</v>
      </c>
      <c r="AG1" s="27">
        <f>IF(config!AM4&lt;&gt;"",DATE($A$2,$A$4,config!AM4),"")</f>
        <v>45442</v>
      </c>
      <c r="AH1" s="30">
        <f>IF(config!AN4&lt;&gt;"",DATE($A$2,$A$4,config!AN4),"")</f>
        <v>45443</v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水</v>
      </c>
      <c r="E2" s="12" t="str">
        <f t="shared" ref="E2:AH2" si="0">IF(COUNTIF(E3,1),"祝",TEXT(E1,"aaa"))</f>
        <v>木</v>
      </c>
      <c r="F2" s="12" t="str">
        <f t="shared" si="0"/>
        <v>金</v>
      </c>
      <c r="G2" s="12" t="str">
        <f t="shared" si="0"/>
        <v>土</v>
      </c>
      <c r="H2" s="13" t="str">
        <f t="shared" si="0"/>
        <v>日</v>
      </c>
      <c r="I2" s="17" t="str">
        <f t="shared" si="0"/>
        <v>月</v>
      </c>
      <c r="J2" s="12" t="str">
        <f t="shared" si="0"/>
        <v>火</v>
      </c>
      <c r="K2" s="12" t="str">
        <f t="shared" si="0"/>
        <v>水</v>
      </c>
      <c r="L2" s="12" t="str">
        <f t="shared" si="0"/>
        <v>木</v>
      </c>
      <c r="M2" s="14" t="str">
        <f t="shared" si="0"/>
        <v>金</v>
      </c>
      <c r="N2" s="11" t="str">
        <f t="shared" si="0"/>
        <v>土</v>
      </c>
      <c r="O2" s="12" t="str">
        <f t="shared" si="0"/>
        <v>日</v>
      </c>
      <c r="P2" s="12" t="str">
        <f t="shared" si="0"/>
        <v>月</v>
      </c>
      <c r="Q2" s="12" t="str">
        <f t="shared" si="0"/>
        <v>火</v>
      </c>
      <c r="R2" s="13" t="str">
        <f t="shared" si="0"/>
        <v>水</v>
      </c>
      <c r="S2" s="17" t="str">
        <f t="shared" si="0"/>
        <v>木</v>
      </c>
      <c r="T2" s="12" t="str">
        <f t="shared" si="0"/>
        <v>金</v>
      </c>
      <c r="U2" s="12" t="str">
        <f t="shared" si="0"/>
        <v>土</v>
      </c>
      <c r="V2" s="12" t="str">
        <f t="shared" si="0"/>
        <v>日</v>
      </c>
      <c r="W2" s="14" t="str">
        <f t="shared" si="0"/>
        <v>月</v>
      </c>
      <c r="X2" s="11" t="str">
        <f t="shared" si="0"/>
        <v>火</v>
      </c>
      <c r="Y2" s="12" t="str">
        <f t="shared" si="0"/>
        <v>水</v>
      </c>
      <c r="Z2" s="12" t="str">
        <f t="shared" si="0"/>
        <v>木</v>
      </c>
      <c r="AA2" s="12" t="str">
        <f t="shared" si="0"/>
        <v>金</v>
      </c>
      <c r="AB2" s="13" t="str">
        <f t="shared" si="0"/>
        <v>土</v>
      </c>
      <c r="AC2" s="17" t="str">
        <f t="shared" si="0"/>
        <v>日</v>
      </c>
      <c r="AD2" s="12" t="str">
        <f t="shared" si="0"/>
        <v>月</v>
      </c>
      <c r="AE2" s="12" t="str">
        <f t="shared" si="0"/>
        <v>火</v>
      </c>
      <c r="AF2" s="12" t="str">
        <f t="shared" si="0"/>
        <v>水</v>
      </c>
      <c r="AG2" s="14" t="str">
        <f t="shared" si="0"/>
        <v>木</v>
      </c>
      <c r="AH2" s="31" t="str">
        <f t="shared" si="0"/>
        <v>金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5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>／</v>
      </c>
      <c r="H4" s="22" t="str">
        <f t="shared" si="1"/>
        <v>／</v>
      </c>
      <c r="I4" s="18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28" t="str">
        <f t="shared" si="1"/>
        <v/>
      </c>
      <c r="N4" s="21" t="str">
        <f t="shared" si="1"/>
        <v>／</v>
      </c>
      <c r="O4" s="7" t="str">
        <f t="shared" si="1"/>
        <v>／</v>
      </c>
      <c r="P4" s="7" t="str">
        <f t="shared" si="1"/>
        <v/>
      </c>
      <c r="Q4" s="7" t="str">
        <f t="shared" si="1"/>
        <v/>
      </c>
      <c r="R4" s="22" t="str">
        <f t="shared" si="1"/>
        <v/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>／</v>
      </c>
      <c r="V4" s="7" t="str">
        <f t="shared" si="2"/>
        <v>／</v>
      </c>
      <c r="W4" s="28" t="str">
        <f t="shared" si="2"/>
        <v/>
      </c>
      <c r="X4" s="21" t="str">
        <f t="shared" si="2"/>
        <v/>
      </c>
      <c r="Y4" s="7" t="str">
        <f t="shared" si="2"/>
        <v/>
      </c>
      <c r="Z4" s="7" t="str">
        <f t="shared" si="2"/>
        <v/>
      </c>
      <c r="AA4" s="7" t="str">
        <f t="shared" si="2"/>
        <v/>
      </c>
      <c r="AB4" s="22" t="str">
        <f t="shared" si="2"/>
        <v>／</v>
      </c>
      <c r="AC4" s="18" t="str">
        <f t="shared" si="2"/>
        <v>／</v>
      </c>
      <c r="AD4" s="7" t="str">
        <f t="shared" si="2"/>
        <v/>
      </c>
      <c r="AE4" s="7" t="str">
        <f t="shared" si="2"/>
        <v/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/>
      </c>
      <c r="G5" s="3" t="str">
        <f t="shared" si="1"/>
        <v>／</v>
      </c>
      <c r="H5" s="24" t="str">
        <f t="shared" si="1"/>
        <v>／</v>
      </c>
      <c r="I5" s="19" t="str">
        <f t="shared" si="1"/>
        <v/>
      </c>
      <c r="J5" s="3" t="str">
        <f t="shared" si="1"/>
        <v/>
      </c>
      <c r="K5" s="3" t="str">
        <f t="shared" si="1"/>
        <v/>
      </c>
      <c r="L5" s="3" t="str">
        <f t="shared" si="1"/>
        <v/>
      </c>
      <c r="M5" s="15" t="str">
        <f t="shared" si="1"/>
        <v/>
      </c>
      <c r="N5" s="23" t="str">
        <f t="shared" si="1"/>
        <v>／</v>
      </c>
      <c r="O5" s="3" t="str">
        <f t="shared" si="1"/>
        <v>／</v>
      </c>
      <c r="P5" s="3" t="str">
        <f t="shared" si="1"/>
        <v/>
      </c>
      <c r="Q5" s="3" t="str">
        <f t="shared" si="1"/>
        <v/>
      </c>
      <c r="R5" s="24" t="str">
        <f t="shared" si="1"/>
        <v/>
      </c>
      <c r="S5" s="19" t="str">
        <f t="shared" si="1"/>
        <v/>
      </c>
      <c r="T5" s="3" t="str">
        <f t="shared" si="1"/>
        <v/>
      </c>
      <c r="U5" s="3" t="str">
        <f t="shared" si="2"/>
        <v>／</v>
      </c>
      <c r="V5" s="3" t="str">
        <f t="shared" si="2"/>
        <v>／</v>
      </c>
      <c r="W5" s="15" t="str">
        <f t="shared" si="2"/>
        <v/>
      </c>
      <c r="X5" s="2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24" t="str">
        <f t="shared" si="2"/>
        <v>／</v>
      </c>
      <c r="AC5" s="19" t="str">
        <f t="shared" si="2"/>
        <v>／</v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+JvlsrIZlXTIt1dP1NuIPi40aNBRyWahtI52B6RL99KtDScYHJba5HDtYFU/m/GFwwCFLvwsZXbcvbHJFKm/4A==" saltValue="7pWZT69K91/tgPT17wW80A==" spinCount="100000" sheet="1" objects="1" scenarios="1"/>
  <phoneticPr fontId="1"/>
  <conditionalFormatting sqref="D1:AH1048576">
    <cfRule type="expression" dxfId="10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H208"/>
  <sheetViews>
    <sheetView workbookViewId="0">
      <selection activeCell="AH1" sqref="AH1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IF(config!J5&lt;&gt;"",DATE($A$2,$A$4,config!J5),"")</f>
        <v>45444</v>
      </c>
      <c r="E1" s="9">
        <f>IF(config!K5&lt;&gt;"",DATE($A$2,$A$4,config!K5),"")</f>
        <v>45445</v>
      </c>
      <c r="F1" s="9">
        <f>IF(config!L5&lt;&gt;"",DATE($A$2,$A$4,config!L5),"")</f>
        <v>45446</v>
      </c>
      <c r="G1" s="9">
        <f>IF(config!M5&lt;&gt;"",DATE($A$2,$A$4,config!M5),"")</f>
        <v>45447</v>
      </c>
      <c r="H1" s="10">
        <f>IF(config!N5&lt;&gt;"",DATE($A$2,$A$4,config!N5),"")</f>
        <v>45448</v>
      </c>
      <c r="I1" s="16">
        <f>IF(config!O5&lt;&gt;"",DATE($A$2,$A$4,config!O5),"")</f>
        <v>45449</v>
      </c>
      <c r="J1" s="9">
        <f>IF(config!P5&lt;&gt;"",DATE($A$2,$A$4,config!P5),"")</f>
        <v>45450</v>
      </c>
      <c r="K1" s="9">
        <f>IF(config!Q5&lt;&gt;"",DATE($A$2,$A$4,config!Q5),"")</f>
        <v>45451</v>
      </c>
      <c r="L1" s="9">
        <f>IF(config!R5&lt;&gt;"",DATE($A$2,$A$4,config!R5),"")</f>
        <v>45452</v>
      </c>
      <c r="M1" s="27">
        <f>IF(config!S5&lt;&gt;"",DATE($A$2,$A$4,config!S5),"")</f>
        <v>45453</v>
      </c>
      <c r="N1" s="20">
        <f>IF(config!T5&lt;&gt;"",DATE($A$2,$A$4,config!T5),"")</f>
        <v>45454</v>
      </c>
      <c r="O1" s="9">
        <f>IF(config!U5&lt;&gt;"",DATE($A$2,$A$4,config!U5),"")</f>
        <v>45455</v>
      </c>
      <c r="P1" s="9">
        <f>IF(config!V5&lt;&gt;"",DATE($A$2,$A$4,config!V5),"")</f>
        <v>45456</v>
      </c>
      <c r="Q1" s="9">
        <f>IF(config!W5&lt;&gt;"",DATE($A$2,$A$4,config!W5),"")</f>
        <v>45457</v>
      </c>
      <c r="R1" s="10">
        <f>IF(config!X5&lt;&gt;"",DATE($A$2,$A$4,config!X5),"")</f>
        <v>45458</v>
      </c>
      <c r="S1" s="16">
        <f>IF(config!Y5&lt;&gt;"",DATE($A$2,$A$4,config!Y5),"")</f>
        <v>45459</v>
      </c>
      <c r="T1" s="9">
        <f>IF(config!Z5&lt;&gt;"",DATE($A$2,$A$4,config!Z5),"")</f>
        <v>45460</v>
      </c>
      <c r="U1" s="9">
        <f>IF(config!AA5&lt;&gt;"",DATE($A$2,$A$4,config!AA5),"")</f>
        <v>45461</v>
      </c>
      <c r="V1" s="9">
        <f>IF(config!AB5&lt;&gt;"",DATE($A$2,$A$4,config!AB5),"")</f>
        <v>45462</v>
      </c>
      <c r="W1" s="27">
        <f>IF(config!AC5&lt;&gt;"",DATE($A$2,$A$4,config!AC5),"")</f>
        <v>45463</v>
      </c>
      <c r="X1" s="20">
        <f>IF(config!AD5&lt;&gt;"",DATE($A$2,$A$4,config!AD5),"")</f>
        <v>45464</v>
      </c>
      <c r="Y1" s="9">
        <f>IF(config!AE5&lt;&gt;"",DATE($A$2,$A$4,config!AE5),"")</f>
        <v>45465</v>
      </c>
      <c r="Z1" s="9">
        <f>IF(config!AF5&lt;&gt;"",DATE($A$2,$A$4,config!AF5),"")</f>
        <v>45466</v>
      </c>
      <c r="AA1" s="9">
        <f>IF(config!AG5&lt;&gt;"",DATE($A$2,$A$4,config!AG5),"")</f>
        <v>45467</v>
      </c>
      <c r="AB1" s="10">
        <f>IF(config!AH5&lt;&gt;"",DATE($A$2,$A$4,config!AH5),"")</f>
        <v>45468</v>
      </c>
      <c r="AC1" s="16">
        <f>IF(config!AI5&lt;&gt;"",DATE($A$2,$A$4,config!AI5),"")</f>
        <v>45469</v>
      </c>
      <c r="AD1" s="9">
        <f>IF(config!AJ5&lt;&gt;"",DATE($A$2,$A$4,config!AJ5),"")</f>
        <v>45470</v>
      </c>
      <c r="AE1" s="9">
        <f>IF(config!AK5&lt;&gt;"",DATE($A$2,$A$4,config!AK5),"")</f>
        <v>45471</v>
      </c>
      <c r="AF1" s="9">
        <f>IF(config!AL5&lt;&gt;"",DATE($A$2,$A$4,config!AL5),"")</f>
        <v>45472</v>
      </c>
      <c r="AG1" s="27">
        <f>IF(config!AM5&lt;&gt;"",DATE($A$2,$A$4,config!AM5),"")</f>
        <v>45473</v>
      </c>
      <c r="AH1" s="30" t="str">
        <f>IF(config!AN5&lt;&gt;"",DATE($A$2,$A$4,config!AN5),"")</f>
        <v/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土</v>
      </c>
      <c r="E2" s="12" t="str">
        <f t="shared" ref="E2:AH2" si="0">IF(COUNTIF(E3,1),"祝",TEXT(E1,"aaa"))</f>
        <v>日</v>
      </c>
      <c r="F2" s="12" t="str">
        <f t="shared" si="0"/>
        <v>月</v>
      </c>
      <c r="G2" s="12" t="str">
        <f t="shared" si="0"/>
        <v>火</v>
      </c>
      <c r="H2" s="13" t="str">
        <f t="shared" si="0"/>
        <v>水</v>
      </c>
      <c r="I2" s="17" t="str">
        <f t="shared" si="0"/>
        <v>木</v>
      </c>
      <c r="J2" s="12" t="str">
        <f t="shared" si="0"/>
        <v>金</v>
      </c>
      <c r="K2" s="12" t="str">
        <f t="shared" si="0"/>
        <v>土</v>
      </c>
      <c r="L2" s="12" t="str">
        <f t="shared" si="0"/>
        <v>日</v>
      </c>
      <c r="M2" s="14" t="str">
        <f t="shared" si="0"/>
        <v>月</v>
      </c>
      <c r="N2" s="11" t="str">
        <f t="shared" si="0"/>
        <v>火</v>
      </c>
      <c r="O2" s="12" t="str">
        <f t="shared" si="0"/>
        <v>水</v>
      </c>
      <c r="P2" s="12" t="str">
        <f t="shared" si="0"/>
        <v>木</v>
      </c>
      <c r="Q2" s="12" t="str">
        <f t="shared" si="0"/>
        <v>金</v>
      </c>
      <c r="R2" s="13" t="str">
        <f t="shared" si="0"/>
        <v>土</v>
      </c>
      <c r="S2" s="17" t="str">
        <f t="shared" si="0"/>
        <v>日</v>
      </c>
      <c r="T2" s="12" t="str">
        <f t="shared" si="0"/>
        <v>月</v>
      </c>
      <c r="U2" s="12" t="str">
        <f t="shared" si="0"/>
        <v>火</v>
      </c>
      <c r="V2" s="12" t="str">
        <f t="shared" si="0"/>
        <v>水</v>
      </c>
      <c r="W2" s="14" t="str">
        <f t="shared" si="0"/>
        <v>木</v>
      </c>
      <c r="X2" s="11" t="str">
        <f t="shared" si="0"/>
        <v>金</v>
      </c>
      <c r="Y2" s="12" t="str">
        <f t="shared" si="0"/>
        <v>土</v>
      </c>
      <c r="Z2" s="12" t="str">
        <f t="shared" si="0"/>
        <v>日</v>
      </c>
      <c r="AA2" s="12" t="str">
        <f t="shared" si="0"/>
        <v>月</v>
      </c>
      <c r="AB2" s="13" t="str">
        <f t="shared" si="0"/>
        <v>火</v>
      </c>
      <c r="AC2" s="17" t="str">
        <f t="shared" si="0"/>
        <v>水</v>
      </c>
      <c r="AD2" s="12" t="str">
        <f t="shared" si="0"/>
        <v>木</v>
      </c>
      <c r="AE2" s="12" t="str">
        <f t="shared" si="0"/>
        <v>金</v>
      </c>
      <c r="AF2" s="12" t="str">
        <f t="shared" si="0"/>
        <v>土</v>
      </c>
      <c r="AG2" s="14" t="str">
        <f t="shared" si="0"/>
        <v>日</v>
      </c>
      <c r="AH2" s="31" t="str">
        <f t="shared" si="0"/>
        <v/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6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>／</v>
      </c>
      <c r="E4" s="7" t="str">
        <f t="shared" ref="E4:T5" si="1">IF(E$2="祝","／",IF(E$2="土","／",IF(E$2="日","／","")))</f>
        <v>／</v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/>
      </c>
      <c r="K4" s="7" t="str">
        <f t="shared" si="1"/>
        <v>／</v>
      </c>
      <c r="L4" s="7" t="str">
        <f t="shared" si="1"/>
        <v>／</v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22" t="str">
        <f t="shared" si="1"/>
        <v>／</v>
      </c>
      <c r="S4" s="18" t="str">
        <f t="shared" si="1"/>
        <v>／</v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/>
      </c>
      <c r="Y4" s="7" t="str">
        <f t="shared" si="2"/>
        <v>／</v>
      </c>
      <c r="Z4" s="7" t="str">
        <f t="shared" si="2"/>
        <v>／</v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/>
      </c>
      <c r="AF4" s="7" t="str">
        <f t="shared" si="2"/>
        <v>／</v>
      </c>
      <c r="AG4" s="28" t="str">
        <f t="shared" si="2"/>
        <v>／</v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>／</v>
      </c>
      <c r="E5" s="3" t="str">
        <f t="shared" si="1"/>
        <v>／</v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/>
      </c>
      <c r="K5" s="3" t="str">
        <f t="shared" si="1"/>
        <v>／</v>
      </c>
      <c r="L5" s="3" t="str">
        <f t="shared" si="1"/>
        <v>／</v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24" t="str">
        <f t="shared" si="1"/>
        <v>／</v>
      </c>
      <c r="S5" s="19" t="str">
        <f t="shared" si="1"/>
        <v>／</v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/>
      </c>
      <c r="Y5" s="3" t="str">
        <f t="shared" si="2"/>
        <v>／</v>
      </c>
      <c r="Z5" s="3" t="str">
        <f t="shared" si="2"/>
        <v>／</v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>／</v>
      </c>
      <c r="AG5" s="15" t="str">
        <f t="shared" si="2"/>
        <v>／</v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HR8x89ea8IVQX7SOwEV4jWtTmnq/mPkLm+qx3lWI9ZPwyhCPynLe6Y1U9th5rV5C7J4Od3SRTC1i9H4NqC4q2Q==" saltValue="VdeFLAAtq8dxs4ty+RyoLA==" spinCount="100000" sheet="1" objects="1" scenarios="1"/>
  <phoneticPr fontId="1"/>
  <conditionalFormatting sqref="D1:AH1048576">
    <cfRule type="expression" dxfId="9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H208"/>
  <sheetViews>
    <sheetView workbookViewId="0">
      <selection activeCell="AI5" sqref="AI5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IF(config!J6&lt;&gt;"",DATE($A$2,$A$4,config!J6),"")</f>
        <v>45474</v>
      </c>
      <c r="E1" s="9">
        <f>IF(config!K6&lt;&gt;"",DATE($A$2,$A$4,config!K6),"")</f>
        <v>45475</v>
      </c>
      <c r="F1" s="9">
        <f>IF(config!L6&lt;&gt;"",DATE($A$2,$A$4,config!L6),"")</f>
        <v>45476</v>
      </c>
      <c r="G1" s="9">
        <f>IF(config!M6&lt;&gt;"",DATE($A$2,$A$4,config!M6),"")</f>
        <v>45477</v>
      </c>
      <c r="H1" s="10">
        <f>IF(config!N6&lt;&gt;"",DATE($A$2,$A$4,config!N6),"")</f>
        <v>45478</v>
      </c>
      <c r="I1" s="16">
        <f>IF(config!O6&lt;&gt;"",DATE($A$2,$A$4,config!O6),"")</f>
        <v>45479</v>
      </c>
      <c r="J1" s="9">
        <f>IF(config!P6&lt;&gt;"",DATE($A$2,$A$4,config!P6),"")</f>
        <v>45480</v>
      </c>
      <c r="K1" s="9">
        <f>IF(config!Q6&lt;&gt;"",DATE($A$2,$A$4,config!Q6),"")</f>
        <v>45481</v>
      </c>
      <c r="L1" s="9">
        <f>IF(config!R6&lt;&gt;"",DATE($A$2,$A$4,config!R6),"")</f>
        <v>45482</v>
      </c>
      <c r="M1" s="27">
        <f>IF(config!S6&lt;&gt;"",DATE($A$2,$A$4,config!S6),"")</f>
        <v>45483</v>
      </c>
      <c r="N1" s="20">
        <f>IF(config!T6&lt;&gt;"",DATE($A$2,$A$4,config!T6),"")</f>
        <v>45484</v>
      </c>
      <c r="O1" s="9">
        <f>IF(config!U6&lt;&gt;"",DATE($A$2,$A$4,config!U6),"")</f>
        <v>45485</v>
      </c>
      <c r="P1" s="9">
        <f>IF(config!V6&lt;&gt;"",DATE($A$2,$A$4,config!V6),"")</f>
        <v>45486</v>
      </c>
      <c r="Q1" s="9">
        <f>IF(config!W6&lt;&gt;"",DATE($A$2,$A$4,config!W6),"")</f>
        <v>45487</v>
      </c>
      <c r="R1" s="10">
        <f>IF(config!X6&lt;&gt;"",DATE($A$2,$A$4,config!X6),"")</f>
        <v>45488</v>
      </c>
      <c r="S1" s="16">
        <f>IF(config!Y6&lt;&gt;"",DATE($A$2,$A$4,config!Y6),"")</f>
        <v>45489</v>
      </c>
      <c r="T1" s="9">
        <f>IF(config!Z6&lt;&gt;"",DATE($A$2,$A$4,config!Z6),"")</f>
        <v>45490</v>
      </c>
      <c r="U1" s="9">
        <f>IF(config!AA6&lt;&gt;"",DATE($A$2,$A$4,config!AA6),"")</f>
        <v>45491</v>
      </c>
      <c r="V1" s="9">
        <f>IF(config!AB6&lt;&gt;"",DATE($A$2,$A$4,config!AB6),"")</f>
        <v>45492</v>
      </c>
      <c r="W1" s="27">
        <f>IF(config!AC6&lt;&gt;"",DATE($A$2,$A$4,config!AC6),"")</f>
        <v>45493</v>
      </c>
      <c r="X1" s="20">
        <f>IF(config!AD6&lt;&gt;"",DATE($A$2,$A$4,config!AD6),"")</f>
        <v>45494</v>
      </c>
      <c r="Y1" s="9">
        <f>IF(config!AE6&lt;&gt;"",DATE($A$2,$A$4,config!AE6),"")</f>
        <v>45495</v>
      </c>
      <c r="Z1" s="9">
        <f>IF(config!AF6&lt;&gt;"",DATE($A$2,$A$4,config!AF6),"")</f>
        <v>45496</v>
      </c>
      <c r="AA1" s="9">
        <f>IF(config!AG6&lt;&gt;"",DATE($A$2,$A$4,config!AG6),"")</f>
        <v>45497</v>
      </c>
      <c r="AB1" s="10">
        <f>IF(config!AH6&lt;&gt;"",DATE($A$2,$A$4,config!AH6),"")</f>
        <v>45498</v>
      </c>
      <c r="AC1" s="16">
        <f>IF(config!AI6&lt;&gt;"",DATE($A$2,$A$4,config!AI6),"")</f>
        <v>45499</v>
      </c>
      <c r="AD1" s="9">
        <f>IF(config!AJ6&lt;&gt;"",DATE($A$2,$A$4,config!AJ6),"")</f>
        <v>45500</v>
      </c>
      <c r="AE1" s="9">
        <f>IF(config!AK6&lt;&gt;"",DATE($A$2,$A$4,config!AK6),"")</f>
        <v>45501</v>
      </c>
      <c r="AF1" s="9">
        <f>IF(config!AL6&lt;&gt;"",DATE($A$2,$A$4,config!AL6),"")</f>
        <v>45502</v>
      </c>
      <c r="AG1" s="27">
        <f>IF(config!AM6&lt;&gt;"",DATE($A$2,$A$4,config!AM6),"")</f>
        <v>45503</v>
      </c>
      <c r="AH1" s="30">
        <f>IF(config!AN6&lt;&gt;"",DATE($A$2,$A$4,config!AN6),"")</f>
        <v>45504</v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月</v>
      </c>
      <c r="E2" s="12" t="str">
        <f t="shared" ref="E2:AH2" si="0">IF(COUNTIF(E3,1),"祝",TEXT(E1,"aaa"))</f>
        <v>火</v>
      </c>
      <c r="F2" s="12" t="str">
        <f t="shared" si="0"/>
        <v>水</v>
      </c>
      <c r="G2" s="12" t="str">
        <f t="shared" si="0"/>
        <v>木</v>
      </c>
      <c r="H2" s="13" t="str">
        <f t="shared" si="0"/>
        <v>金</v>
      </c>
      <c r="I2" s="17" t="str">
        <f t="shared" si="0"/>
        <v>土</v>
      </c>
      <c r="J2" s="12" t="str">
        <f t="shared" si="0"/>
        <v>日</v>
      </c>
      <c r="K2" s="12" t="str">
        <f t="shared" si="0"/>
        <v>月</v>
      </c>
      <c r="L2" s="12" t="str">
        <f t="shared" si="0"/>
        <v>火</v>
      </c>
      <c r="M2" s="14" t="str">
        <f t="shared" si="0"/>
        <v>水</v>
      </c>
      <c r="N2" s="11" t="str">
        <f t="shared" si="0"/>
        <v>木</v>
      </c>
      <c r="O2" s="12" t="str">
        <f t="shared" si="0"/>
        <v>金</v>
      </c>
      <c r="P2" s="12" t="str">
        <f t="shared" si="0"/>
        <v>土</v>
      </c>
      <c r="Q2" s="12" t="str">
        <f t="shared" si="0"/>
        <v>日</v>
      </c>
      <c r="R2" s="13" t="str">
        <f t="shared" si="0"/>
        <v>月</v>
      </c>
      <c r="S2" s="17" t="str">
        <f t="shared" si="0"/>
        <v>火</v>
      </c>
      <c r="T2" s="12" t="str">
        <f t="shared" si="0"/>
        <v>水</v>
      </c>
      <c r="U2" s="12" t="str">
        <f t="shared" si="0"/>
        <v>木</v>
      </c>
      <c r="V2" s="12" t="str">
        <f t="shared" si="0"/>
        <v>金</v>
      </c>
      <c r="W2" s="14" t="str">
        <f t="shared" si="0"/>
        <v>土</v>
      </c>
      <c r="X2" s="11" t="str">
        <f t="shared" si="0"/>
        <v>日</v>
      </c>
      <c r="Y2" s="12" t="str">
        <f t="shared" si="0"/>
        <v>月</v>
      </c>
      <c r="Z2" s="12" t="str">
        <f t="shared" si="0"/>
        <v>火</v>
      </c>
      <c r="AA2" s="12" t="str">
        <f t="shared" si="0"/>
        <v>水</v>
      </c>
      <c r="AB2" s="13" t="str">
        <f t="shared" si="0"/>
        <v>木</v>
      </c>
      <c r="AC2" s="17" t="str">
        <f t="shared" si="0"/>
        <v>金</v>
      </c>
      <c r="AD2" s="12" t="str">
        <f t="shared" si="0"/>
        <v>土</v>
      </c>
      <c r="AE2" s="12" t="str">
        <f t="shared" si="0"/>
        <v>日</v>
      </c>
      <c r="AF2" s="12" t="str">
        <f t="shared" si="0"/>
        <v>月</v>
      </c>
      <c r="AG2" s="14" t="str">
        <f t="shared" si="0"/>
        <v>火</v>
      </c>
      <c r="AH2" s="31" t="str">
        <f t="shared" si="0"/>
        <v>水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7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>／</v>
      </c>
      <c r="J4" s="7" t="str">
        <f t="shared" si="1"/>
        <v>／</v>
      </c>
      <c r="K4" s="7" t="str">
        <f t="shared" si="1"/>
        <v/>
      </c>
      <c r="L4" s="7" t="str">
        <f t="shared" si="1"/>
        <v/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>／</v>
      </c>
      <c r="Q4" s="7" t="str">
        <f t="shared" si="1"/>
        <v>／</v>
      </c>
      <c r="R4" s="22" t="str">
        <f t="shared" si="1"/>
        <v/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>／</v>
      </c>
      <c r="X4" s="21" t="str">
        <f t="shared" si="2"/>
        <v>／</v>
      </c>
      <c r="Y4" s="7" t="str">
        <f t="shared" si="2"/>
        <v/>
      </c>
      <c r="Z4" s="7" t="str">
        <f t="shared" si="2"/>
        <v/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>／</v>
      </c>
      <c r="AE4" s="7" t="str">
        <f t="shared" si="2"/>
        <v>／</v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>／</v>
      </c>
      <c r="J5" s="3" t="str">
        <f t="shared" si="1"/>
        <v>／</v>
      </c>
      <c r="K5" s="3" t="str">
        <f t="shared" si="1"/>
        <v/>
      </c>
      <c r="L5" s="3" t="str">
        <f t="shared" si="1"/>
        <v/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>／</v>
      </c>
      <c r="Q5" s="3" t="str">
        <f t="shared" si="1"/>
        <v>／</v>
      </c>
      <c r="R5" s="24" t="str">
        <f t="shared" si="1"/>
        <v/>
      </c>
      <c r="S5" s="19" t="str">
        <f t="shared" si="1"/>
        <v/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>／</v>
      </c>
      <c r="X5" s="23" t="str">
        <f t="shared" si="2"/>
        <v>／</v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>／</v>
      </c>
      <c r="AE5" s="3" t="str">
        <f t="shared" si="2"/>
        <v>／</v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zd/3f1s4ahYYwnDrOHTDGEhsGajI8cLPzEbLsNPJLZn9GJmYUBZuqBFWh4CVhuR+LwQkE2JfeRNYD1SgUhNeSw==" saltValue="fj9ikqkFQzFH22ihuflGiQ==" spinCount="100000" sheet="1" objects="1" scenarios="1"/>
  <phoneticPr fontId="1"/>
  <conditionalFormatting sqref="D1:AH1048576">
    <cfRule type="expression" dxfId="8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H208"/>
  <sheetViews>
    <sheetView workbookViewId="0">
      <selection activeCell="F2" sqref="F2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IF(config!J7&lt;&gt;"",DATE($A$2,$A$4,config!J7),"")</f>
        <v>45505</v>
      </c>
      <c r="E1" s="9">
        <f>IF(config!K7&lt;&gt;"",DATE($A$2,$A$4,config!K7),"")</f>
        <v>45506</v>
      </c>
      <c r="F1" s="9">
        <f>IF(config!L7&lt;&gt;"",DATE($A$2,$A$4,config!L7),"")</f>
        <v>45507</v>
      </c>
      <c r="G1" s="9">
        <f>IF(config!M7&lt;&gt;"",DATE($A$2,$A$4,config!M7),"")</f>
        <v>45508</v>
      </c>
      <c r="H1" s="10">
        <f>IF(config!N7&lt;&gt;"",DATE($A$2,$A$4,config!N7),"")</f>
        <v>45509</v>
      </c>
      <c r="I1" s="16">
        <f>IF(config!O7&lt;&gt;"",DATE($A$2,$A$4,config!O7),"")</f>
        <v>45510</v>
      </c>
      <c r="J1" s="9">
        <f>IF(config!P7&lt;&gt;"",DATE($A$2,$A$4,config!P7),"")</f>
        <v>45511</v>
      </c>
      <c r="K1" s="9">
        <f>IF(config!Q7&lt;&gt;"",DATE($A$2,$A$4,config!Q7),"")</f>
        <v>45512</v>
      </c>
      <c r="L1" s="9">
        <f>IF(config!R7&lt;&gt;"",DATE($A$2,$A$4,config!R7),"")</f>
        <v>45513</v>
      </c>
      <c r="M1" s="27">
        <f>IF(config!S7&lt;&gt;"",DATE($A$2,$A$4,config!S7),"")</f>
        <v>45514</v>
      </c>
      <c r="N1" s="20">
        <f>IF(config!T7&lt;&gt;"",DATE($A$2,$A$4,config!T7),"")</f>
        <v>45515</v>
      </c>
      <c r="O1" s="9">
        <f>IF(config!U7&lt;&gt;"",DATE($A$2,$A$4,config!U7),"")</f>
        <v>45516</v>
      </c>
      <c r="P1" s="9">
        <f>IF(config!V7&lt;&gt;"",DATE($A$2,$A$4,config!V7),"")</f>
        <v>45517</v>
      </c>
      <c r="Q1" s="9">
        <f>IF(config!W7&lt;&gt;"",DATE($A$2,$A$4,config!W7),"")</f>
        <v>45518</v>
      </c>
      <c r="R1" s="10">
        <f>IF(config!X7&lt;&gt;"",DATE($A$2,$A$4,config!X7),"")</f>
        <v>45519</v>
      </c>
      <c r="S1" s="16">
        <f>IF(config!Y7&lt;&gt;"",DATE($A$2,$A$4,config!Y7),"")</f>
        <v>45520</v>
      </c>
      <c r="T1" s="9">
        <f>IF(config!Z7&lt;&gt;"",DATE($A$2,$A$4,config!Z7),"")</f>
        <v>45521</v>
      </c>
      <c r="U1" s="9">
        <f>IF(config!AA7&lt;&gt;"",DATE($A$2,$A$4,config!AA7),"")</f>
        <v>45522</v>
      </c>
      <c r="V1" s="9">
        <f>IF(config!AB7&lt;&gt;"",DATE($A$2,$A$4,config!AB7),"")</f>
        <v>45523</v>
      </c>
      <c r="W1" s="27">
        <f>IF(config!AC7&lt;&gt;"",DATE($A$2,$A$4,config!AC7),"")</f>
        <v>45524</v>
      </c>
      <c r="X1" s="20">
        <f>IF(config!AD7&lt;&gt;"",DATE($A$2,$A$4,config!AD7),"")</f>
        <v>45525</v>
      </c>
      <c r="Y1" s="9">
        <f>IF(config!AE7&lt;&gt;"",DATE($A$2,$A$4,config!AE7),"")</f>
        <v>45526</v>
      </c>
      <c r="Z1" s="9">
        <f>IF(config!AF7&lt;&gt;"",DATE($A$2,$A$4,config!AF7),"")</f>
        <v>45527</v>
      </c>
      <c r="AA1" s="9">
        <f>IF(config!AG7&lt;&gt;"",DATE($A$2,$A$4,config!AG7),"")</f>
        <v>45528</v>
      </c>
      <c r="AB1" s="10">
        <f>IF(config!AH7&lt;&gt;"",DATE($A$2,$A$4,config!AH7),"")</f>
        <v>45529</v>
      </c>
      <c r="AC1" s="16">
        <f>IF(config!AI7&lt;&gt;"",DATE($A$2,$A$4,config!AI7),"")</f>
        <v>45530</v>
      </c>
      <c r="AD1" s="9">
        <f>IF(config!AJ7&lt;&gt;"",DATE($A$2,$A$4,config!AJ7),"")</f>
        <v>45531</v>
      </c>
      <c r="AE1" s="9">
        <f>IF(config!AK7&lt;&gt;"",DATE($A$2,$A$4,config!AK7),"")</f>
        <v>45532</v>
      </c>
      <c r="AF1" s="9">
        <f>IF(config!AL7&lt;&gt;"",DATE($A$2,$A$4,config!AL7),"")</f>
        <v>45533</v>
      </c>
      <c r="AG1" s="27">
        <f>IF(config!AM7&lt;&gt;"",DATE($A$2,$A$4,config!AM7),"")</f>
        <v>45534</v>
      </c>
      <c r="AH1" s="30">
        <f>IF(config!AN7&lt;&gt;"",DATE($A$2,$A$4,config!AN7),"")</f>
        <v>45535</v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木</v>
      </c>
      <c r="E2" s="12" t="str">
        <f t="shared" ref="E2:AH2" si="0">IF(COUNTIF(E3,1),"祝",TEXT(E1,"aaa"))</f>
        <v>金</v>
      </c>
      <c r="F2" s="12" t="str">
        <f t="shared" si="0"/>
        <v>土</v>
      </c>
      <c r="G2" s="12" t="str">
        <f t="shared" si="0"/>
        <v>日</v>
      </c>
      <c r="H2" s="13" t="str">
        <f t="shared" si="0"/>
        <v>月</v>
      </c>
      <c r="I2" s="17" t="str">
        <f t="shared" si="0"/>
        <v>火</v>
      </c>
      <c r="J2" s="12" t="str">
        <f t="shared" si="0"/>
        <v>水</v>
      </c>
      <c r="K2" s="12" t="str">
        <f t="shared" si="0"/>
        <v>木</v>
      </c>
      <c r="L2" s="12" t="str">
        <f t="shared" si="0"/>
        <v>金</v>
      </c>
      <c r="M2" s="14" t="str">
        <f t="shared" si="0"/>
        <v>土</v>
      </c>
      <c r="N2" s="11" t="str">
        <f t="shared" si="0"/>
        <v>日</v>
      </c>
      <c r="O2" s="12" t="str">
        <f t="shared" si="0"/>
        <v>月</v>
      </c>
      <c r="P2" s="12" t="str">
        <f t="shared" si="0"/>
        <v>火</v>
      </c>
      <c r="Q2" s="12" t="str">
        <f t="shared" si="0"/>
        <v>水</v>
      </c>
      <c r="R2" s="13" t="str">
        <f t="shared" si="0"/>
        <v>木</v>
      </c>
      <c r="S2" s="17" t="str">
        <f t="shared" si="0"/>
        <v>金</v>
      </c>
      <c r="T2" s="12" t="str">
        <f t="shared" si="0"/>
        <v>土</v>
      </c>
      <c r="U2" s="12" t="str">
        <f t="shared" si="0"/>
        <v>日</v>
      </c>
      <c r="V2" s="12" t="str">
        <f t="shared" si="0"/>
        <v>月</v>
      </c>
      <c r="W2" s="14" t="str">
        <f t="shared" si="0"/>
        <v>火</v>
      </c>
      <c r="X2" s="11" t="str">
        <f t="shared" si="0"/>
        <v>水</v>
      </c>
      <c r="Y2" s="12" t="str">
        <f t="shared" si="0"/>
        <v>木</v>
      </c>
      <c r="Z2" s="12" t="str">
        <f t="shared" si="0"/>
        <v>金</v>
      </c>
      <c r="AA2" s="12" t="str">
        <f t="shared" si="0"/>
        <v>土</v>
      </c>
      <c r="AB2" s="13" t="str">
        <f t="shared" si="0"/>
        <v>日</v>
      </c>
      <c r="AC2" s="17" t="str">
        <f t="shared" si="0"/>
        <v>月</v>
      </c>
      <c r="AD2" s="12" t="str">
        <f t="shared" si="0"/>
        <v>火</v>
      </c>
      <c r="AE2" s="12" t="str">
        <f t="shared" si="0"/>
        <v>水</v>
      </c>
      <c r="AF2" s="12" t="str">
        <f t="shared" si="0"/>
        <v>木</v>
      </c>
      <c r="AG2" s="14" t="str">
        <f t="shared" si="0"/>
        <v>金</v>
      </c>
      <c r="AH2" s="31" t="str">
        <f t="shared" si="0"/>
        <v>土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8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>／</v>
      </c>
      <c r="G4" s="7" t="str">
        <f t="shared" si="1"/>
        <v>／</v>
      </c>
      <c r="H4" s="22" t="str">
        <f t="shared" si="1"/>
        <v/>
      </c>
      <c r="I4" s="18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28" t="str">
        <f t="shared" si="1"/>
        <v>／</v>
      </c>
      <c r="N4" s="21" t="str">
        <f t="shared" si="1"/>
        <v>／</v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22" t="str">
        <f t="shared" si="1"/>
        <v/>
      </c>
      <c r="S4" s="18" t="str">
        <f t="shared" si="1"/>
        <v/>
      </c>
      <c r="T4" s="7" t="str">
        <f t="shared" si="1"/>
        <v>／</v>
      </c>
      <c r="U4" s="7" t="str">
        <f t="shared" ref="U4:AH5" si="2">IF(U$2="祝","／",IF(U$2="土","／",IF(U$2="日","／","")))</f>
        <v>／</v>
      </c>
      <c r="V4" s="7" t="str">
        <f t="shared" si="2"/>
        <v/>
      </c>
      <c r="W4" s="28" t="str">
        <f t="shared" si="2"/>
        <v/>
      </c>
      <c r="X4" s="21" t="str">
        <f t="shared" si="2"/>
        <v/>
      </c>
      <c r="Y4" s="7" t="str">
        <f t="shared" si="2"/>
        <v/>
      </c>
      <c r="Z4" s="7" t="str">
        <f t="shared" si="2"/>
        <v/>
      </c>
      <c r="AA4" s="7" t="str">
        <f t="shared" si="2"/>
        <v>／</v>
      </c>
      <c r="AB4" s="22" t="str">
        <f t="shared" si="2"/>
        <v>／</v>
      </c>
      <c r="AC4" s="18" t="str">
        <f t="shared" si="2"/>
        <v/>
      </c>
      <c r="AD4" s="7" t="str">
        <f t="shared" si="2"/>
        <v/>
      </c>
      <c r="AE4" s="7" t="str">
        <f t="shared" si="2"/>
        <v/>
      </c>
      <c r="AF4" s="7" t="str">
        <f t="shared" si="2"/>
        <v/>
      </c>
      <c r="AG4" s="28" t="str">
        <f t="shared" si="2"/>
        <v/>
      </c>
      <c r="AH4" s="32" t="str">
        <f t="shared" si="2"/>
        <v>／</v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>／</v>
      </c>
      <c r="G5" s="3" t="str">
        <f t="shared" si="1"/>
        <v>／</v>
      </c>
      <c r="H5" s="24" t="str">
        <f t="shared" si="1"/>
        <v/>
      </c>
      <c r="I5" s="19" t="str">
        <f t="shared" si="1"/>
        <v/>
      </c>
      <c r="J5" s="3" t="str">
        <f t="shared" si="1"/>
        <v/>
      </c>
      <c r="K5" s="3" t="str">
        <f t="shared" si="1"/>
        <v/>
      </c>
      <c r="L5" s="3" t="str">
        <f t="shared" si="1"/>
        <v/>
      </c>
      <c r="M5" s="15" t="str">
        <f t="shared" si="1"/>
        <v>／</v>
      </c>
      <c r="N5" s="23" t="str">
        <f t="shared" si="1"/>
        <v>／</v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24" t="str">
        <f t="shared" si="1"/>
        <v/>
      </c>
      <c r="S5" s="19" t="str">
        <f t="shared" si="1"/>
        <v/>
      </c>
      <c r="T5" s="3" t="str">
        <f t="shared" si="1"/>
        <v>／</v>
      </c>
      <c r="U5" s="3" t="str">
        <f t="shared" si="2"/>
        <v>／</v>
      </c>
      <c r="V5" s="3" t="str">
        <f t="shared" si="2"/>
        <v/>
      </c>
      <c r="W5" s="15" t="str">
        <f t="shared" si="2"/>
        <v/>
      </c>
      <c r="X5" s="2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>／</v>
      </c>
      <c r="AB5" s="24" t="str">
        <f t="shared" si="2"/>
        <v>／</v>
      </c>
      <c r="AC5" s="19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15" t="str">
        <f t="shared" si="2"/>
        <v/>
      </c>
      <c r="AH5" s="33" t="str">
        <f t="shared" si="2"/>
        <v>／</v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8FHaK+NADn8ZLP66yKLhcxh7k5ZMEenUnjpS9Da/Rz3ZAbquR2MZgTGRaW4AokSeNoIg20TXG/cCN58CtqLrUQ==" saltValue="S77bMZfEhT9vfCUJ6h5qIQ==" spinCount="100000" sheet="1" objects="1" scenarios="1"/>
  <phoneticPr fontId="1"/>
  <conditionalFormatting sqref="D1:AH1048576">
    <cfRule type="expression" dxfId="7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H208"/>
  <sheetViews>
    <sheetView workbookViewId="0">
      <selection activeCell="AH1" sqref="AH1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IF(config!J8&lt;&gt;"",DATE($A$2,$A$4,config!J8),"")</f>
        <v>45536</v>
      </c>
      <c r="E1" s="9">
        <f>IF(config!K8&lt;&gt;"",DATE($A$2,$A$4,config!K8),"")</f>
        <v>45537</v>
      </c>
      <c r="F1" s="9">
        <f>IF(config!L8&lt;&gt;"",DATE($A$2,$A$4,config!L8),"")</f>
        <v>45538</v>
      </c>
      <c r="G1" s="9">
        <f>IF(config!M8&lt;&gt;"",DATE($A$2,$A$4,config!M8),"")</f>
        <v>45539</v>
      </c>
      <c r="H1" s="10">
        <f>IF(config!N8&lt;&gt;"",DATE($A$2,$A$4,config!N8),"")</f>
        <v>45540</v>
      </c>
      <c r="I1" s="16">
        <f>IF(config!O8&lt;&gt;"",DATE($A$2,$A$4,config!O8),"")</f>
        <v>45541</v>
      </c>
      <c r="J1" s="9">
        <f>IF(config!P8&lt;&gt;"",DATE($A$2,$A$4,config!P8),"")</f>
        <v>45542</v>
      </c>
      <c r="K1" s="9">
        <f>IF(config!Q8&lt;&gt;"",DATE($A$2,$A$4,config!Q8),"")</f>
        <v>45543</v>
      </c>
      <c r="L1" s="9">
        <f>IF(config!R8&lt;&gt;"",DATE($A$2,$A$4,config!R8),"")</f>
        <v>45544</v>
      </c>
      <c r="M1" s="27">
        <f>IF(config!S8&lt;&gt;"",DATE($A$2,$A$4,config!S8),"")</f>
        <v>45545</v>
      </c>
      <c r="N1" s="20">
        <f>IF(config!T8&lt;&gt;"",DATE($A$2,$A$4,config!T8),"")</f>
        <v>45546</v>
      </c>
      <c r="O1" s="9">
        <f>IF(config!U8&lt;&gt;"",DATE($A$2,$A$4,config!U8),"")</f>
        <v>45547</v>
      </c>
      <c r="P1" s="9">
        <f>IF(config!V8&lt;&gt;"",DATE($A$2,$A$4,config!V8),"")</f>
        <v>45548</v>
      </c>
      <c r="Q1" s="9">
        <f>IF(config!W8&lt;&gt;"",DATE($A$2,$A$4,config!W8),"")</f>
        <v>45549</v>
      </c>
      <c r="R1" s="10">
        <f>IF(config!X8&lt;&gt;"",DATE($A$2,$A$4,config!X8),"")</f>
        <v>45550</v>
      </c>
      <c r="S1" s="16">
        <f>IF(config!Y8&lt;&gt;"",DATE($A$2,$A$4,config!Y8),"")</f>
        <v>45551</v>
      </c>
      <c r="T1" s="9">
        <f>IF(config!Z8&lt;&gt;"",DATE($A$2,$A$4,config!Z8),"")</f>
        <v>45552</v>
      </c>
      <c r="U1" s="9">
        <f>IF(config!AA8&lt;&gt;"",DATE($A$2,$A$4,config!AA8),"")</f>
        <v>45553</v>
      </c>
      <c r="V1" s="9">
        <f>IF(config!AB8&lt;&gt;"",DATE($A$2,$A$4,config!AB8),"")</f>
        <v>45554</v>
      </c>
      <c r="W1" s="27">
        <f>IF(config!AC8&lt;&gt;"",DATE($A$2,$A$4,config!AC8),"")</f>
        <v>45555</v>
      </c>
      <c r="X1" s="20">
        <f>IF(config!AD8&lt;&gt;"",DATE($A$2,$A$4,config!AD8),"")</f>
        <v>45556</v>
      </c>
      <c r="Y1" s="9">
        <f>IF(config!AE8&lt;&gt;"",DATE($A$2,$A$4,config!AE8),"")</f>
        <v>45557</v>
      </c>
      <c r="Z1" s="9">
        <f>IF(config!AF8&lt;&gt;"",DATE($A$2,$A$4,config!AF8),"")</f>
        <v>45558</v>
      </c>
      <c r="AA1" s="9">
        <f>IF(config!AG8&lt;&gt;"",DATE($A$2,$A$4,config!AG8),"")</f>
        <v>45559</v>
      </c>
      <c r="AB1" s="10">
        <f>IF(config!AH8&lt;&gt;"",DATE($A$2,$A$4,config!AH8),"")</f>
        <v>45560</v>
      </c>
      <c r="AC1" s="16">
        <f>IF(config!AI8&lt;&gt;"",DATE($A$2,$A$4,config!AI8),"")</f>
        <v>45561</v>
      </c>
      <c r="AD1" s="9">
        <f>IF(config!AJ8&lt;&gt;"",DATE($A$2,$A$4,config!AJ8),"")</f>
        <v>45562</v>
      </c>
      <c r="AE1" s="9">
        <f>IF(config!AK8&lt;&gt;"",DATE($A$2,$A$4,config!AK8),"")</f>
        <v>45563</v>
      </c>
      <c r="AF1" s="9">
        <f>IF(config!AL8&lt;&gt;"",DATE($A$2,$A$4,config!AL8),"")</f>
        <v>45564</v>
      </c>
      <c r="AG1" s="27">
        <f>IF(config!AM8&lt;&gt;"",DATE($A$2,$A$4,config!AM8),"")</f>
        <v>45565</v>
      </c>
      <c r="AH1" s="30" t="str">
        <f>IF(config!AN8&lt;&gt;"",DATE($A$2,$A$4,config!AN8),"")</f>
        <v/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日</v>
      </c>
      <c r="E2" s="12" t="str">
        <f t="shared" ref="E2:AH2" si="0">IF(COUNTIF(E3,1),"祝",TEXT(E1,"aaa"))</f>
        <v>月</v>
      </c>
      <c r="F2" s="12" t="str">
        <f t="shared" si="0"/>
        <v>火</v>
      </c>
      <c r="G2" s="12" t="str">
        <f t="shared" si="0"/>
        <v>水</v>
      </c>
      <c r="H2" s="13" t="str">
        <f t="shared" si="0"/>
        <v>木</v>
      </c>
      <c r="I2" s="17" t="str">
        <f t="shared" si="0"/>
        <v>金</v>
      </c>
      <c r="J2" s="12" t="str">
        <f t="shared" si="0"/>
        <v>土</v>
      </c>
      <c r="K2" s="12" t="str">
        <f t="shared" si="0"/>
        <v>日</v>
      </c>
      <c r="L2" s="12" t="str">
        <f t="shared" si="0"/>
        <v>月</v>
      </c>
      <c r="M2" s="14" t="str">
        <f t="shared" si="0"/>
        <v>火</v>
      </c>
      <c r="N2" s="11" t="str">
        <f t="shared" si="0"/>
        <v>水</v>
      </c>
      <c r="O2" s="12" t="str">
        <f t="shared" si="0"/>
        <v>木</v>
      </c>
      <c r="P2" s="12" t="str">
        <f t="shared" si="0"/>
        <v>金</v>
      </c>
      <c r="Q2" s="12" t="str">
        <f t="shared" si="0"/>
        <v>土</v>
      </c>
      <c r="R2" s="13" t="str">
        <f t="shared" si="0"/>
        <v>日</v>
      </c>
      <c r="S2" s="17" t="str">
        <f t="shared" si="0"/>
        <v>月</v>
      </c>
      <c r="T2" s="12" t="str">
        <f t="shared" si="0"/>
        <v>火</v>
      </c>
      <c r="U2" s="12" t="str">
        <f t="shared" si="0"/>
        <v>水</v>
      </c>
      <c r="V2" s="12" t="str">
        <f t="shared" si="0"/>
        <v>木</v>
      </c>
      <c r="W2" s="14" t="str">
        <f t="shared" si="0"/>
        <v>金</v>
      </c>
      <c r="X2" s="11" t="str">
        <f t="shared" si="0"/>
        <v>土</v>
      </c>
      <c r="Y2" s="12" t="str">
        <f t="shared" si="0"/>
        <v>日</v>
      </c>
      <c r="Z2" s="12" t="str">
        <f t="shared" si="0"/>
        <v>月</v>
      </c>
      <c r="AA2" s="12" t="str">
        <f t="shared" si="0"/>
        <v>火</v>
      </c>
      <c r="AB2" s="13" t="str">
        <f t="shared" si="0"/>
        <v>水</v>
      </c>
      <c r="AC2" s="17" t="str">
        <f t="shared" si="0"/>
        <v>木</v>
      </c>
      <c r="AD2" s="12" t="str">
        <f t="shared" si="0"/>
        <v>金</v>
      </c>
      <c r="AE2" s="12" t="str">
        <f t="shared" si="0"/>
        <v>土</v>
      </c>
      <c r="AF2" s="12" t="str">
        <f t="shared" si="0"/>
        <v>日</v>
      </c>
      <c r="AG2" s="14" t="str">
        <f t="shared" si="0"/>
        <v>月</v>
      </c>
      <c r="AH2" s="31" t="str">
        <f t="shared" si="0"/>
        <v/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9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>／</v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>／</v>
      </c>
      <c r="K4" s="7" t="str">
        <f t="shared" si="1"/>
        <v>／</v>
      </c>
      <c r="L4" s="7" t="str">
        <f t="shared" si="1"/>
        <v/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>／</v>
      </c>
      <c r="R4" s="22" t="str">
        <f t="shared" si="1"/>
        <v>／</v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>／</v>
      </c>
      <c r="Y4" s="7" t="str">
        <f t="shared" si="2"/>
        <v>／</v>
      </c>
      <c r="Z4" s="7" t="str">
        <f t="shared" si="2"/>
        <v/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>／</v>
      </c>
      <c r="AF4" s="7" t="str">
        <f t="shared" si="2"/>
        <v>／</v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>／</v>
      </c>
      <c r="E5" s="3" t="str">
        <f t="shared" si="1"/>
        <v/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>／</v>
      </c>
      <c r="K5" s="3" t="str">
        <f t="shared" si="1"/>
        <v>／</v>
      </c>
      <c r="L5" s="3" t="str">
        <f t="shared" si="1"/>
        <v/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>／</v>
      </c>
      <c r="R5" s="24" t="str">
        <f t="shared" si="1"/>
        <v>／</v>
      </c>
      <c r="S5" s="19" t="str">
        <f t="shared" si="1"/>
        <v/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>／</v>
      </c>
      <c r="Y5" s="3" t="str">
        <f t="shared" si="2"/>
        <v>／</v>
      </c>
      <c r="Z5" s="3" t="str">
        <f t="shared" si="2"/>
        <v/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>／</v>
      </c>
      <c r="AF5" s="3" t="str">
        <f t="shared" si="2"/>
        <v>／</v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SqlQlSlwqxCHt4xTmcYpT4JFmb7xAoX4j2tcXe9eSnh/dLfroVLE7brc7wJvUDWHKUCbUw9C89SUCI95DX4ibA==" saltValue="VcDOw+x0Qfo2oNnpbUN2iQ==" spinCount="100000" sheet="1" objects="1" scenarios="1"/>
  <phoneticPr fontId="1"/>
  <conditionalFormatting sqref="D1:AH1048576">
    <cfRule type="expression" dxfId="6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H208"/>
  <sheetViews>
    <sheetView workbookViewId="0">
      <selection activeCell="AI7" sqref="AI7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IF(config!J9&lt;&gt;"",DATE($A$2,$A$4,config!J9),"")</f>
        <v>45566</v>
      </c>
      <c r="E1" s="9">
        <f>IF(config!K9&lt;&gt;"",DATE($A$2,$A$4,config!K9),"")</f>
        <v>45567</v>
      </c>
      <c r="F1" s="9">
        <f>IF(config!L9&lt;&gt;"",DATE($A$2,$A$4,config!L9),"")</f>
        <v>45568</v>
      </c>
      <c r="G1" s="9">
        <f>IF(config!M9&lt;&gt;"",DATE($A$2,$A$4,config!M9),"")</f>
        <v>45569</v>
      </c>
      <c r="H1" s="10">
        <f>IF(config!N9&lt;&gt;"",DATE($A$2,$A$4,config!N9),"")</f>
        <v>45570</v>
      </c>
      <c r="I1" s="16">
        <f>IF(config!O9&lt;&gt;"",DATE($A$2,$A$4,config!O9),"")</f>
        <v>45571</v>
      </c>
      <c r="J1" s="9">
        <f>IF(config!P9&lt;&gt;"",DATE($A$2,$A$4,config!P9),"")</f>
        <v>45572</v>
      </c>
      <c r="K1" s="9">
        <f>IF(config!Q9&lt;&gt;"",DATE($A$2,$A$4,config!Q9),"")</f>
        <v>45573</v>
      </c>
      <c r="L1" s="9">
        <f>IF(config!R9&lt;&gt;"",DATE($A$2,$A$4,config!R9),"")</f>
        <v>45574</v>
      </c>
      <c r="M1" s="27">
        <f>IF(config!S9&lt;&gt;"",DATE($A$2,$A$4,config!S9),"")</f>
        <v>45575</v>
      </c>
      <c r="N1" s="20">
        <f>IF(config!T9&lt;&gt;"",DATE($A$2,$A$4,config!T9),"")</f>
        <v>45576</v>
      </c>
      <c r="O1" s="9">
        <f>IF(config!U9&lt;&gt;"",DATE($A$2,$A$4,config!U9),"")</f>
        <v>45577</v>
      </c>
      <c r="P1" s="9">
        <f>IF(config!V9&lt;&gt;"",DATE($A$2,$A$4,config!V9),"")</f>
        <v>45578</v>
      </c>
      <c r="Q1" s="9">
        <f>IF(config!W9&lt;&gt;"",DATE($A$2,$A$4,config!W9),"")</f>
        <v>45579</v>
      </c>
      <c r="R1" s="10">
        <f>IF(config!X9&lt;&gt;"",DATE($A$2,$A$4,config!X9),"")</f>
        <v>45580</v>
      </c>
      <c r="S1" s="16">
        <f>IF(config!Y9&lt;&gt;"",DATE($A$2,$A$4,config!Y9),"")</f>
        <v>45581</v>
      </c>
      <c r="T1" s="9">
        <f>IF(config!Z9&lt;&gt;"",DATE($A$2,$A$4,config!Z9),"")</f>
        <v>45582</v>
      </c>
      <c r="U1" s="9">
        <f>IF(config!AA9&lt;&gt;"",DATE($A$2,$A$4,config!AA9),"")</f>
        <v>45583</v>
      </c>
      <c r="V1" s="9">
        <f>IF(config!AB9&lt;&gt;"",DATE($A$2,$A$4,config!AB9),"")</f>
        <v>45584</v>
      </c>
      <c r="W1" s="27">
        <f>IF(config!AC9&lt;&gt;"",DATE($A$2,$A$4,config!AC9),"")</f>
        <v>45585</v>
      </c>
      <c r="X1" s="20">
        <f>IF(config!AD9&lt;&gt;"",DATE($A$2,$A$4,config!AD9),"")</f>
        <v>45586</v>
      </c>
      <c r="Y1" s="9">
        <f>IF(config!AE9&lt;&gt;"",DATE($A$2,$A$4,config!AE9),"")</f>
        <v>45587</v>
      </c>
      <c r="Z1" s="9">
        <f>IF(config!AF9&lt;&gt;"",DATE($A$2,$A$4,config!AF9),"")</f>
        <v>45588</v>
      </c>
      <c r="AA1" s="9">
        <f>IF(config!AG9&lt;&gt;"",DATE($A$2,$A$4,config!AG9),"")</f>
        <v>45589</v>
      </c>
      <c r="AB1" s="10">
        <f>IF(config!AH9&lt;&gt;"",DATE($A$2,$A$4,config!AH9),"")</f>
        <v>45590</v>
      </c>
      <c r="AC1" s="16">
        <f>IF(config!AI9&lt;&gt;"",DATE($A$2,$A$4,config!AI9),"")</f>
        <v>45591</v>
      </c>
      <c r="AD1" s="9">
        <f>IF(config!AJ9&lt;&gt;"",DATE($A$2,$A$4,config!AJ9),"")</f>
        <v>45592</v>
      </c>
      <c r="AE1" s="9">
        <f>IF(config!AK9&lt;&gt;"",DATE($A$2,$A$4,config!AK9),"")</f>
        <v>45593</v>
      </c>
      <c r="AF1" s="9">
        <f>IF(config!AL9&lt;&gt;"",DATE($A$2,$A$4,config!AL9),"")</f>
        <v>45594</v>
      </c>
      <c r="AG1" s="27">
        <f>IF(config!AM9&lt;&gt;"",DATE($A$2,$A$4,config!AM9),"")</f>
        <v>45595</v>
      </c>
      <c r="AH1" s="30">
        <f>IF(config!AN9&lt;&gt;"",DATE($A$2,$A$4,config!AN9),"")</f>
        <v>45596</v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火</v>
      </c>
      <c r="E2" s="12" t="str">
        <f t="shared" ref="E2:AH2" si="0">IF(COUNTIF(E3,1),"祝",TEXT(E1,"aaa"))</f>
        <v>水</v>
      </c>
      <c r="F2" s="12" t="str">
        <f t="shared" si="0"/>
        <v>木</v>
      </c>
      <c r="G2" s="12" t="str">
        <f t="shared" si="0"/>
        <v>金</v>
      </c>
      <c r="H2" s="13" t="str">
        <f t="shared" si="0"/>
        <v>土</v>
      </c>
      <c r="I2" s="17" t="str">
        <f t="shared" si="0"/>
        <v>日</v>
      </c>
      <c r="J2" s="12" t="str">
        <f t="shared" si="0"/>
        <v>月</v>
      </c>
      <c r="K2" s="12" t="str">
        <f t="shared" si="0"/>
        <v>火</v>
      </c>
      <c r="L2" s="12" t="str">
        <f t="shared" si="0"/>
        <v>水</v>
      </c>
      <c r="M2" s="14" t="str">
        <f t="shared" si="0"/>
        <v>木</v>
      </c>
      <c r="N2" s="11" t="str">
        <f t="shared" si="0"/>
        <v>金</v>
      </c>
      <c r="O2" s="12" t="str">
        <f t="shared" si="0"/>
        <v>土</v>
      </c>
      <c r="P2" s="12" t="str">
        <f t="shared" si="0"/>
        <v>日</v>
      </c>
      <c r="Q2" s="12" t="str">
        <f t="shared" si="0"/>
        <v>月</v>
      </c>
      <c r="R2" s="13" t="str">
        <f t="shared" si="0"/>
        <v>火</v>
      </c>
      <c r="S2" s="17" t="str">
        <f t="shared" si="0"/>
        <v>水</v>
      </c>
      <c r="T2" s="12" t="str">
        <f t="shared" si="0"/>
        <v>木</v>
      </c>
      <c r="U2" s="12" t="str">
        <f t="shared" si="0"/>
        <v>金</v>
      </c>
      <c r="V2" s="12" t="str">
        <f t="shared" si="0"/>
        <v>土</v>
      </c>
      <c r="W2" s="14" t="str">
        <f t="shared" si="0"/>
        <v>日</v>
      </c>
      <c r="X2" s="11" t="str">
        <f t="shared" si="0"/>
        <v>月</v>
      </c>
      <c r="Y2" s="12" t="str">
        <f t="shared" si="0"/>
        <v>火</v>
      </c>
      <c r="Z2" s="12" t="str">
        <f t="shared" si="0"/>
        <v>水</v>
      </c>
      <c r="AA2" s="12" t="str">
        <f t="shared" si="0"/>
        <v>木</v>
      </c>
      <c r="AB2" s="13" t="str">
        <f t="shared" si="0"/>
        <v>金</v>
      </c>
      <c r="AC2" s="17" t="str">
        <f t="shared" si="0"/>
        <v>土</v>
      </c>
      <c r="AD2" s="12" t="str">
        <f t="shared" si="0"/>
        <v>日</v>
      </c>
      <c r="AE2" s="12" t="str">
        <f t="shared" si="0"/>
        <v>月</v>
      </c>
      <c r="AF2" s="12" t="str">
        <f t="shared" si="0"/>
        <v>火</v>
      </c>
      <c r="AG2" s="14" t="str">
        <f t="shared" si="0"/>
        <v>水</v>
      </c>
      <c r="AH2" s="31" t="str">
        <f t="shared" si="0"/>
        <v>木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10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/>
      </c>
      <c r="H4" s="22" t="str">
        <f t="shared" si="1"/>
        <v>／</v>
      </c>
      <c r="I4" s="18" t="str">
        <f t="shared" si="1"/>
        <v>／</v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28" t="str">
        <f t="shared" si="1"/>
        <v/>
      </c>
      <c r="N4" s="21" t="str">
        <f t="shared" si="1"/>
        <v/>
      </c>
      <c r="O4" s="7" t="str">
        <f t="shared" si="1"/>
        <v>／</v>
      </c>
      <c r="P4" s="7" t="str">
        <f t="shared" si="1"/>
        <v>／</v>
      </c>
      <c r="Q4" s="7" t="str">
        <f t="shared" si="1"/>
        <v/>
      </c>
      <c r="R4" s="22" t="str">
        <f t="shared" si="1"/>
        <v/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>／</v>
      </c>
      <c r="W4" s="28" t="str">
        <f t="shared" si="2"/>
        <v>／</v>
      </c>
      <c r="X4" s="21" t="str">
        <f t="shared" si="2"/>
        <v/>
      </c>
      <c r="Y4" s="7" t="str">
        <f t="shared" si="2"/>
        <v/>
      </c>
      <c r="Z4" s="7" t="str">
        <f t="shared" si="2"/>
        <v/>
      </c>
      <c r="AA4" s="7" t="str">
        <f t="shared" si="2"/>
        <v/>
      </c>
      <c r="AB4" s="22" t="str">
        <f t="shared" si="2"/>
        <v/>
      </c>
      <c r="AC4" s="18" t="str">
        <f t="shared" si="2"/>
        <v>／</v>
      </c>
      <c r="AD4" s="7" t="str">
        <f t="shared" si="2"/>
        <v>／</v>
      </c>
      <c r="AE4" s="7" t="str">
        <f t="shared" si="2"/>
        <v/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/>
      </c>
      <c r="G5" s="3" t="str">
        <f t="shared" si="1"/>
        <v/>
      </c>
      <c r="H5" s="24" t="str">
        <f t="shared" si="1"/>
        <v>／</v>
      </c>
      <c r="I5" s="19" t="str">
        <f t="shared" si="1"/>
        <v>／</v>
      </c>
      <c r="J5" s="3" t="str">
        <f t="shared" si="1"/>
        <v/>
      </c>
      <c r="K5" s="3" t="str">
        <f t="shared" si="1"/>
        <v/>
      </c>
      <c r="L5" s="3" t="str">
        <f t="shared" si="1"/>
        <v/>
      </c>
      <c r="M5" s="15" t="str">
        <f t="shared" si="1"/>
        <v/>
      </c>
      <c r="N5" s="23" t="str">
        <f t="shared" si="1"/>
        <v/>
      </c>
      <c r="O5" s="3" t="str">
        <f t="shared" si="1"/>
        <v>／</v>
      </c>
      <c r="P5" s="3" t="str">
        <f t="shared" si="1"/>
        <v>／</v>
      </c>
      <c r="Q5" s="3" t="str">
        <f t="shared" si="1"/>
        <v/>
      </c>
      <c r="R5" s="24" t="str">
        <f t="shared" si="1"/>
        <v/>
      </c>
      <c r="S5" s="19" t="str">
        <f t="shared" si="1"/>
        <v/>
      </c>
      <c r="T5" s="3" t="str">
        <f t="shared" si="1"/>
        <v/>
      </c>
      <c r="U5" s="3" t="str">
        <f t="shared" si="2"/>
        <v/>
      </c>
      <c r="V5" s="3" t="str">
        <f t="shared" si="2"/>
        <v>／</v>
      </c>
      <c r="W5" s="15" t="str">
        <f t="shared" si="2"/>
        <v>／</v>
      </c>
      <c r="X5" s="2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24" t="str">
        <f t="shared" si="2"/>
        <v/>
      </c>
      <c r="AC5" s="19" t="str">
        <f t="shared" si="2"/>
        <v>／</v>
      </c>
      <c r="AD5" s="3" t="str">
        <f t="shared" si="2"/>
        <v>／</v>
      </c>
      <c r="AE5" s="3" t="str">
        <f t="shared" si="2"/>
        <v/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eSpw2v5uvBR/Lg3ac59XXLCziyRHB1iUzJIMdWQbBm2IskxqWpJxFWg7/2eaZ6klXpEX/imL+QPbJQW3CSpHlw==" saltValue="9cHcjo8ESu/rDnxuOzzSzQ==" spinCount="100000" sheet="1" objects="1" scenarios="1"/>
  <phoneticPr fontId="1"/>
  <conditionalFormatting sqref="D1:AH1048576">
    <cfRule type="expression" dxfId="5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H208"/>
  <sheetViews>
    <sheetView workbookViewId="0">
      <selection activeCell="AE6" sqref="AE6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IF(config!J10&lt;&gt;"",DATE($A$2,$A$4,config!J10),"")</f>
        <v>45597</v>
      </c>
      <c r="E1" s="9">
        <f>IF(config!K10&lt;&gt;"",DATE($A$2,$A$4,config!K10),"")</f>
        <v>45598</v>
      </c>
      <c r="F1" s="9">
        <f>IF(config!L10&lt;&gt;"",DATE($A$2,$A$4,config!L10),"")</f>
        <v>45599</v>
      </c>
      <c r="G1" s="9">
        <f>IF(config!M10&lt;&gt;"",DATE($A$2,$A$4,config!M10),"")</f>
        <v>45600</v>
      </c>
      <c r="H1" s="10">
        <f>IF(config!N10&lt;&gt;"",DATE($A$2,$A$4,config!N10),"")</f>
        <v>45601</v>
      </c>
      <c r="I1" s="16">
        <f>IF(config!O10&lt;&gt;"",DATE($A$2,$A$4,config!O10),"")</f>
        <v>45602</v>
      </c>
      <c r="J1" s="9">
        <f>IF(config!P10&lt;&gt;"",DATE($A$2,$A$4,config!P10),"")</f>
        <v>45603</v>
      </c>
      <c r="K1" s="9">
        <f>IF(config!Q10&lt;&gt;"",DATE($A$2,$A$4,config!Q10),"")</f>
        <v>45604</v>
      </c>
      <c r="L1" s="9">
        <f>IF(config!R10&lt;&gt;"",DATE($A$2,$A$4,config!R10),"")</f>
        <v>45605</v>
      </c>
      <c r="M1" s="27">
        <f>IF(config!S10&lt;&gt;"",DATE($A$2,$A$4,config!S10),"")</f>
        <v>45606</v>
      </c>
      <c r="N1" s="20">
        <f>IF(config!T10&lt;&gt;"",DATE($A$2,$A$4,config!T10),"")</f>
        <v>45607</v>
      </c>
      <c r="O1" s="9">
        <f>IF(config!U10&lt;&gt;"",DATE($A$2,$A$4,config!U10),"")</f>
        <v>45608</v>
      </c>
      <c r="P1" s="9">
        <f>IF(config!V10&lt;&gt;"",DATE($A$2,$A$4,config!V10),"")</f>
        <v>45609</v>
      </c>
      <c r="Q1" s="9">
        <f>IF(config!W10&lt;&gt;"",DATE($A$2,$A$4,config!W10),"")</f>
        <v>45610</v>
      </c>
      <c r="R1" s="10">
        <f>IF(config!X10&lt;&gt;"",DATE($A$2,$A$4,config!X10),"")</f>
        <v>45611</v>
      </c>
      <c r="S1" s="16">
        <f>IF(config!Y10&lt;&gt;"",DATE($A$2,$A$4,config!Y10),"")</f>
        <v>45612</v>
      </c>
      <c r="T1" s="9">
        <f>IF(config!Z10&lt;&gt;"",DATE($A$2,$A$4,config!Z10),"")</f>
        <v>45613</v>
      </c>
      <c r="U1" s="9">
        <f>IF(config!AA10&lt;&gt;"",DATE($A$2,$A$4,config!AA10),"")</f>
        <v>45614</v>
      </c>
      <c r="V1" s="9">
        <f>IF(config!AB10&lt;&gt;"",DATE($A$2,$A$4,config!AB10),"")</f>
        <v>45615</v>
      </c>
      <c r="W1" s="27">
        <f>IF(config!AC10&lt;&gt;"",DATE($A$2,$A$4,config!AC10),"")</f>
        <v>45616</v>
      </c>
      <c r="X1" s="20">
        <f>IF(config!AD10&lt;&gt;"",DATE($A$2,$A$4,config!AD10),"")</f>
        <v>45617</v>
      </c>
      <c r="Y1" s="9">
        <f>IF(config!AE10&lt;&gt;"",DATE($A$2,$A$4,config!AE10),"")</f>
        <v>45618</v>
      </c>
      <c r="Z1" s="9">
        <f>IF(config!AF10&lt;&gt;"",DATE($A$2,$A$4,config!AF10),"")</f>
        <v>45619</v>
      </c>
      <c r="AA1" s="9">
        <f>IF(config!AG10&lt;&gt;"",DATE($A$2,$A$4,config!AG10),"")</f>
        <v>45620</v>
      </c>
      <c r="AB1" s="10">
        <f>IF(config!AH10&lt;&gt;"",DATE($A$2,$A$4,config!AH10),"")</f>
        <v>45621</v>
      </c>
      <c r="AC1" s="16">
        <f>IF(config!AI10&lt;&gt;"",DATE($A$2,$A$4,config!AI10),"")</f>
        <v>45622</v>
      </c>
      <c r="AD1" s="9">
        <f>IF(config!AJ10&lt;&gt;"",DATE($A$2,$A$4,config!AJ10),"")</f>
        <v>45623</v>
      </c>
      <c r="AE1" s="9">
        <f>IF(config!AK10&lt;&gt;"",DATE($A$2,$A$4,config!AK10),"")</f>
        <v>45624</v>
      </c>
      <c r="AF1" s="9">
        <f>IF(config!AL10&lt;&gt;"",DATE($A$2,$A$4,config!AL10),"")</f>
        <v>45625</v>
      </c>
      <c r="AG1" s="27">
        <f>IF(config!AM10&lt;&gt;"",DATE($A$2,$A$4,config!AM10),"")</f>
        <v>45626</v>
      </c>
      <c r="AH1" s="30" t="str">
        <f>IF(config!AN10&lt;&gt;"",DATE($A$2,$A$4,config!AN10),"")</f>
        <v/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金</v>
      </c>
      <c r="E2" s="12" t="str">
        <f t="shared" ref="E2:AH2" si="0">IF(COUNTIF(E3,1),"祝",TEXT(E1,"aaa"))</f>
        <v>土</v>
      </c>
      <c r="F2" s="12" t="str">
        <f t="shared" si="0"/>
        <v>日</v>
      </c>
      <c r="G2" s="12" t="str">
        <f t="shared" si="0"/>
        <v>月</v>
      </c>
      <c r="H2" s="13" t="str">
        <f t="shared" si="0"/>
        <v>火</v>
      </c>
      <c r="I2" s="17" t="str">
        <f t="shared" si="0"/>
        <v>水</v>
      </c>
      <c r="J2" s="12" t="str">
        <f t="shared" si="0"/>
        <v>木</v>
      </c>
      <c r="K2" s="12" t="str">
        <f t="shared" si="0"/>
        <v>金</v>
      </c>
      <c r="L2" s="12" t="str">
        <f t="shared" si="0"/>
        <v>土</v>
      </c>
      <c r="M2" s="14" t="str">
        <f t="shared" si="0"/>
        <v>日</v>
      </c>
      <c r="N2" s="11" t="str">
        <f t="shared" si="0"/>
        <v>月</v>
      </c>
      <c r="O2" s="12" t="str">
        <f t="shared" si="0"/>
        <v>火</v>
      </c>
      <c r="P2" s="12" t="str">
        <f t="shared" si="0"/>
        <v>水</v>
      </c>
      <c r="Q2" s="12" t="str">
        <f t="shared" si="0"/>
        <v>木</v>
      </c>
      <c r="R2" s="13" t="str">
        <f t="shared" si="0"/>
        <v>金</v>
      </c>
      <c r="S2" s="17" t="str">
        <f t="shared" si="0"/>
        <v>土</v>
      </c>
      <c r="T2" s="12" t="str">
        <f t="shared" si="0"/>
        <v>日</v>
      </c>
      <c r="U2" s="12" t="str">
        <f t="shared" si="0"/>
        <v>月</v>
      </c>
      <c r="V2" s="12" t="str">
        <f t="shared" si="0"/>
        <v>火</v>
      </c>
      <c r="W2" s="14" t="str">
        <f t="shared" si="0"/>
        <v>水</v>
      </c>
      <c r="X2" s="11" t="str">
        <f t="shared" si="0"/>
        <v>木</v>
      </c>
      <c r="Y2" s="12" t="str">
        <f t="shared" si="0"/>
        <v>金</v>
      </c>
      <c r="Z2" s="12" t="str">
        <f t="shared" si="0"/>
        <v>土</v>
      </c>
      <c r="AA2" s="12" t="str">
        <f t="shared" si="0"/>
        <v>日</v>
      </c>
      <c r="AB2" s="13" t="str">
        <f t="shared" si="0"/>
        <v>月</v>
      </c>
      <c r="AC2" s="17" t="str">
        <f t="shared" si="0"/>
        <v>火</v>
      </c>
      <c r="AD2" s="12" t="str">
        <f t="shared" si="0"/>
        <v>水</v>
      </c>
      <c r="AE2" s="12" t="str">
        <f t="shared" si="0"/>
        <v>木</v>
      </c>
      <c r="AF2" s="12" t="str">
        <f t="shared" si="0"/>
        <v>金</v>
      </c>
      <c r="AG2" s="14" t="str">
        <f t="shared" si="0"/>
        <v>土</v>
      </c>
      <c r="AH2" s="31" t="str">
        <f t="shared" si="0"/>
        <v/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11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>／</v>
      </c>
      <c r="F4" s="7" t="str">
        <f t="shared" si="1"/>
        <v>／</v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>／</v>
      </c>
      <c r="M4" s="28" t="str">
        <f t="shared" si="1"/>
        <v>／</v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22" t="str">
        <f t="shared" si="1"/>
        <v/>
      </c>
      <c r="S4" s="18" t="str">
        <f t="shared" si="1"/>
        <v>／</v>
      </c>
      <c r="T4" s="7" t="str">
        <f t="shared" si="1"/>
        <v>／</v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/>
      </c>
      <c r="Y4" s="7" t="str">
        <f t="shared" si="2"/>
        <v/>
      </c>
      <c r="Z4" s="7" t="str">
        <f t="shared" si="2"/>
        <v>／</v>
      </c>
      <c r="AA4" s="7" t="str">
        <f t="shared" si="2"/>
        <v>／</v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/>
      </c>
      <c r="AF4" s="7" t="str">
        <f t="shared" si="2"/>
        <v/>
      </c>
      <c r="AG4" s="28" t="str">
        <f t="shared" si="2"/>
        <v>／</v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>／</v>
      </c>
      <c r="F5" s="3" t="str">
        <f t="shared" si="1"/>
        <v>／</v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/>
      </c>
      <c r="K5" s="3" t="str">
        <f t="shared" si="1"/>
        <v/>
      </c>
      <c r="L5" s="3" t="str">
        <f t="shared" si="1"/>
        <v>／</v>
      </c>
      <c r="M5" s="15" t="str">
        <f t="shared" si="1"/>
        <v>／</v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24" t="str">
        <f t="shared" si="1"/>
        <v/>
      </c>
      <c r="S5" s="19" t="str">
        <f t="shared" si="1"/>
        <v>／</v>
      </c>
      <c r="T5" s="3" t="str">
        <f t="shared" si="1"/>
        <v>／</v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/>
      </c>
      <c r="Y5" s="3" t="str">
        <f t="shared" si="2"/>
        <v/>
      </c>
      <c r="Z5" s="3" t="str">
        <f t="shared" si="2"/>
        <v>／</v>
      </c>
      <c r="AA5" s="3" t="str">
        <f t="shared" si="2"/>
        <v>／</v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15" t="str">
        <f t="shared" si="2"/>
        <v>／</v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scgU45XxqjT51aPEMfcOc309+OZNDlqypbuntuoUHNraSjpGkP17o5fUIWct+cTyL8rzDhjp9pCXnonByEGrpg==" saltValue="1C5FAZiH0kFtNxROq2m7eA==" spinCount="100000" sheet="1" objects="1" scenarios="1"/>
  <phoneticPr fontId="1"/>
  <conditionalFormatting sqref="D1:AH1048576">
    <cfRule type="expression" dxfId="4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H208"/>
  <sheetViews>
    <sheetView workbookViewId="0">
      <selection activeCell="AH1" sqref="AH1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IF(config!J11&lt;&gt;"",DATE($A$2,$A$4,config!J11),"")</f>
        <v>45627</v>
      </c>
      <c r="E1" s="9">
        <f>IF(config!K11&lt;&gt;"",DATE($A$2,$A$4,config!K11),"")</f>
        <v>45628</v>
      </c>
      <c r="F1" s="9">
        <f>IF(config!L11&lt;&gt;"",DATE($A$2,$A$4,config!L11),"")</f>
        <v>45629</v>
      </c>
      <c r="G1" s="9">
        <f>IF(config!M11&lt;&gt;"",DATE($A$2,$A$4,config!M11),"")</f>
        <v>45630</v>
      </c>
      <c r="H1" s="10">
        <f>IF(config!N11&lt;&gt;"",DATE($A$2,$A$4,config!N11),"")</f>
        <v>45631</v>
      </c>
      <c r="I1" s="16">
        <f>IF(config!O11&lt;&gt;"",DATE($A$2,$A$4,config!O11),"")</f>
        <v>45632</v>
      </c>
      <c r="J1" s="9">
        <f>IF(config!P11&lt;&gt;"",DATE($A$2,$A$4,config!P11),"")</f>
        <v>45633</v>
      </c>
      <c r="K1" s="9">
        <f>IF(config!Q11&lt;&gt;"",DATE($A$2,$A$4,config!Q11),"")</f>
        <v>45634</v>
      </c>
      <c r="L1" s="9">
        <f>IF(config!R11&lt;&gt;"",DATE($A$2,$A$4,config!R11),"")</f>
        <v>45635</v>
      </c>
      <c r="M1" s="27">
        <f>IF(config!S11&lt;&gt;"",DATE($A$2,$A$4,config!S11),"")</f>
        <v>45636</v>
      </c>
      <c r="N1" s="20">
        <f>IF(config!T11&lt;&gt;"",DATE($A$2,$A$4,config!T11),"")</f>
        <v>45637</v>
      </c>
      <c r="O1" s="9">
        <f>IF(config!U11&lt;&gt;"",DATE($A$2,$A$4,config!U11),"")</f>
        <v>45638</v>
      </c>
      <c r="P1" s="9">
        <f>IF(config!V11&lt;&gt;"",DATE($A$2,$A$4,config!V11),"")</f>
        <v>45639</v>
      </c>
      <c r="Q1" s="9">
        <f>IF(config!W11&lt;&gt;"",DATE($A$2,$A$4,config!W11),"")</f>
        <v>45640</v>
      </c>
      <c r="R1" s="10">
        <f>IF(config!X11&lt;&gt;"",DATE($A$2,$A$4,config!X11),"")</f>
        <v>45641</v>
      </c>
      <c r="S1" s="16">
        <f>IF(config!Y11&lt;&gt;"",DATE($A$2,$A$4,config!Y11),"")</f>
        <v>45642</v>
      </c>
      <c r="T1" s="9">
        <f>IF(config!Z11&lt;&gt;"",DATE($A$2,$A$4,config!Z11),"")</f>
        <v>45643</v>
      </c>
      <c r="U1" s="9">
        <f>IF(config!AA11&lt;&gt;"",DATE($A$2,$A$4,config!AA11),"")</f>
        <v>45644</v>
      </c>
      <c r="V1" s="9">
        <f>IF(config!AB11&lt;&gt;"",DATE($A$2,$A$4,config!AB11),"")</f>
        <v>45645</v>
      </c>
      <c r="W1" s="27">
        <f>IF(config!AC11&lt;&gt;"",DATE($A$2,$A$4,config!AC11),"")</f>
        <v>45646</v>
      </c>
      <c r="X1" s="20">
        <f>IF(config!AD11&lt;&gt;"",DATE($A$2,$A$4,config!AD11),"")</f>
        <v>45647</v>
      </c>
      <c r="Y1" s="9">
        <f>IF(config!AE11&lt;&gt;"",DATE($A$2,$A$4,config!AE11),"")</f>
        <v>45648</v>
      </c>
      <c r="Z1" s="9">
        <f>IF(config!AF11&lt;&gt;"",DATE($A$2,$A$4,config!AF11),"")</f>
        <v>45649</v>
      </c>
      <c r="AA1" s="9">
        <f>IF(config!AG11&lt;&gt;"",DATE($A$2,$A$4,config!AG11),"")</f>
        <v>45650</v>
      </c>
      <c r="AB1" s="10">
        <f>IF(config!AH11&lt;&gt;"",DATE($A$2,$A$4,config!AH11),"")</f>
        <v>45651</v>
      </c>
      <c r="AC1" s="16">
        <f>IF(config!AI11&lt;&gt;"",DATE($A$2,$A$4,config!AI11),"")</f>
        <v>45652</v>
      </c>
      <c r="AD1" s="9">
        <f>IF(config!AJ11&lt;&gt;"",DATE($A$2,$A$4,config!AJ11),"")</f>
        <v>45653</v>
      </c>
      <c r="AE1" s="9">
        <f>IF(config!AK11&lt;&gt;"",DATE($A$2,$A$4,config!AK11),"")</f>
        <v>45654</v>
      </c>
      <c r="AF1" s="9">
        <f>IF(config!AL11&lt;&gt;"",DATE($A$2,$A$4,config!AL11),"")</f>
        <v>45655</v>
      </c>
      <c r="AG1" s="27">
        <f>IF(config!AM11&lt;&gt;"",DATE($A$2,$A$4,config!AM11),"")</f>
        <v>45656</v>
      </c>
      <c r="AH1" s="30">
        <f>IF(config!AN11&lt;&gt;"",DATE($A$2,$A$4,config!AN11),"")</f>
        <v>45657</v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日</v>
      </c>
      <c r="E2" s="12" t="str">
        <f t="shared" ref="E2:AH2" si="0">IF(COUNTIF(E3,1),"祝",TEXT(E1,"aaa"))</f>
        <v>月</v>
      </c>
      <c r="F2" s="12" t="str">
        <f t="shared" si="0"/>
        <v>火</v>
      </c>
      <c r="G2" s="12" t="str">
        <f t="shared" si="0"/>
        <v>水</v>
      </c>
      <c r="H2" s="13" t="str">
        <f t="shared" si="0"/>
        <v>木</v>
      </c>
      <c r="I2" s="17" t="str">
        <f t="shared" si="0"/>
        <v>金</v>
      </c>
      <c r="J2" s="12" t="str">
        <f t="shared" si="0"/>
        <v>土</v>
      </c>
      <c r="K2" s="12" t="str">
        <f t="shared" si="0"/>
        <v>日</v>
      </c>
      <c r="L2" s="12" t="str">
        <f t="shared" si="0"/>
        <v>月</v>
      </c>
      <c r="M2" s="14" t="str">
        <f t="shared" si="0"/>
        <v>火</v>
      </c>
      <c r="N2" s="11" t="str">
        <f t="shared" si="0"/>
        <v>水</v>
      </c>
      <c r="O2" s="12" t="str">
        <f t="shared" si="0"/>
        <v>木</v>
      </c>
      <c r="P2" s="12" t="str">
        <f t="shared" si="0"/>
        <v>金</v>
      </c>
      <c r="Q2" s="12" t="str">
        <f t="shared" si="0"/>
        <v>土</v>
      </c>
      <c r="R2" s="13" t="str">
        <f t="shared" si="0"/>
        <v>日</v>
      </c>
      <c r="S2" s="17" t="str">
        <f t="shared" si="0"/>
        <v>月</v>
      </c>
      <c r="T2" s="12" t="str">
        <f t="shared" si="0"/>
        <v>火</v>
      </c>
      <c r="U2" s="12" t="str">
        <f t="shared" si="0"/>
        <v>水</v>
      </c>
      <c r="V2" s="12" t="str">
        <f t="shared" si="0"/>
        <v>木</v>
      </c>
      <c r="W2" s="14" t="str">
        <f t="shared" si="0"/>
        <v>金</v>
      </c>
      <c r="X2" s="11" t="str">
        <f t="shared" si="0"/>
        <v>土</v>
      </c>
      <c r="Y2" s="12" t="str">
        <f t="shared" si="0"/>
        <v>日</v>
      </c>
      <c r="Z2" s="12" t="str">
        <f t="shared" si="0"/>
        <v>月</v>
      </c>
      <c r="AA2" s="12" t="str">
        <f t="shared" si="0"/>
        <v>火</v>
      </c>
      <c r="AB2" s="13" t="str">
        <f t="shared" si="0"/>
        <v>水</v>
      </c>
      <c r="AC2" s="17" t="str">
        <f t="shared" si="0"/>
        <v>木</v>
      </c>
      <c r="AD2" s="12" t="str">
        <f t="shared" si="0"/>
        <v>金</v>
      </c>
      <c r="AE2" s="12" t="str">
        <f t="shared" si="0"/>
        <v>土</v>
      </c>
      <c r="AF2" s="12" t="str">
        <f t="shared" si="0"/>
        <v>日</v>
      </c>
      <c r="AG2" s="14" t="str">
        <f t="shared" si="0"/>
        <v>月</v>
      </c>
      <c r="AH2" s="31" t="str">
        <f t="shared" si="0"/>
        <v>火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12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>／</v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>／</v>
      </c>
      <c r="K4" s="7" t="str">
        <f t="shared" si="1"/>
        <v>／</v>
      </c>
      <c r="L4" s="7" t="str">
        <f t="shared" si="1"/>
        <v/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>／</v>
      </c>
      <c r="R4" s="22" t="str">
        <f t="shared" si="1"/>
        <v>／</v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>／</v>
      </c>
      <c r="Y4" s="7" t="str">
        <f t="shared" si="2"/>
        <v>／</v>
      </c>
      <c r="Z4" s="7" t="str">
        <f t="shared" si="2"/>
        <v/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>／</v>
      </c>
      <c r="AF4" s="7" t="str">
        <f t="shared" si="2"/>
        <v>／</v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>／</v>
      </c>
      <c r="E5" s="3" t="str">
        <f t="shared" si="1"/>
        <v/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>／</v>
      </c>
      <c r="K5" s="3" t="str">
        <f t="shared" si="1"/>
        <v>／</v>
      </c>
      <c r="L5" s="3" t="str">
        <f t="shared" si="1"/>
        <v/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>／</v>
      </c>
      <c r="R5" s="24" t="str">
        <f t="shared" si="1"/>
        <v>／</v>
      </c>
      <c r="S5" s="19" t="str">
        <f t="shared" si="1"/>
        <v/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>／</v>
      </c>
      <c r="Y5" s="3" t="str">
        <f t="shared" si="2"/>
        <v>／</v>
      </c>
      <c r="Z5" s="3" t="str">
        <f t="shared" si="2"/>
        <v/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>／</v>
      </c>
      <c r="AF5" s="3" t="str">
        <f t="shared" si="2"/>
        <v>／</v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prikhc4M61SgeWg29ZQeDZU0RgX7qu06MRdWa7YKaxFFxvBPjcvZ5AqEL4flNMhP75IjnUJF+bjlMfQUzpIczQ==" saltValue="TyMNopdRm6NuAkJsLW+tYQ==" spinCount="100000" sheet="1" objects="1" scenarios="1"/>
  <phoneticPr fontId="1"/>
  <conditionalFormatting sqref="D1:AH1048576">
    <cfRule type="expression" dxfId="3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H208"/>
  <sheetViews>
    <sheetView workbookViewId="0">
      <selection activeCell="D6" sqref="D6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IF(config!J12&lt;&gt;"",DATE($A$2,$A$4,config!J12),"")</f>
        <v>45658</v>
      </c>
      <c r="E1" s="9">
        <f>IF(config!K12&lt;&gt;"",DATE($A$2,$A$4,config!K12),"")</f>
        <v>45659</v>
      </c>
      <c r="F1" s="9">
        <f>IF(config!L12&lt;&gt;"",DATE($A$2,$A$4,config!L12),"")</f>
        <v>45660</v>
      </c>
      <c r="G1" s="9">
        <f>IF(config!M12&lt;&gt;"",DATE($A$2,$A$4,config!M12),"")</f>
        <v>45661</v>
      </c>
      <c r="H1" s="10">
        <f>IF(config!N12&lt;&gt;"",DATE($A$2,$A$4,config!N12),"")</f>
        <v>45662</v>
      </c>
      <c r="I1" s="16">
        <f>IF(config!O12&lt;&gt;"",DATE($A$2,$A$4,config!O12),"")</f>
        <v>45663</v>
      </c>
      <c r="J1" s="9">
        <f>IF(config!P12&lt;&gt;"",DATE($A$2,$A$4,config!P12),"")</f>
        <v>45664</v>
      </c>
      <c r="K1" s="9">
        <f>IF(config!Q12&lt;&gt;"",DATE($A$2,$A$4,config!Q12),"")</f>
        <v>45665</v>
      </c>
      <c r="L1" s="9">
        <f>IF(config!R12&lt;&gt;"",DATE($A$2,$A$4,config!R12),"")</f>
        <v>45666</v>
      </c>
      <c r="M1" s="27">
        <f>IF(config!S12&lt;&gt;"",DATE($A$2,$A$4,config!S12),"")</f>
        <v>45667</v>
      </c>
      <c r="N1" s="20">
        <f>IF(config!T12&lt;&gt;"",DATE($A$2,$A$4,config!T12),"")</f>
        <v>45668</v>
      </c>
      <c r="O1" s="9">
        <f>IF(config!U12&lt;&gt;"",DATE($A$2,$A$4,config!U12),"")</f>
        <v>45669</v>
      </c>
      <c r="P1" s="9">
        <f>IF(config!V12&lt;&gt;"",DATE($A$2,$A$4,config!V12),"")</f>
        <v>45670</v>
      </c>
      <c r="Q1" s="9">
        <f>IF(config!W12&lt;&gt;"",DATE($A$2,$A$4,config!W12),"")</f>
        <v>45671</v>
      </c>
      <c r="R1" s="10">
        <f>IF(config!X12&lt;&gt;"",DATE($A$2,$A$4,config!X12),"")</f>
        <v>45672</v>
      </c>
      <c r="S1" s="16">
        <f>IF(config!Y12&lt;&gt;"",DATE($A$2,$A$4,config!Y12),"")</f>
        <v>45673</v>
      </c>
      <c r="T1" s="9">
        <f>IF(config!Z12&lt;&gt;"",DATE($A$2,$A$4,config!Z12),"")</f>
        <v>45674</v>
      </c>
      <c r="U1" s="9">
        <f>IF(config!AA12&lt;&gt;"",DATE($A$2,$A$4,config!AA12),"")</f>
        <v>45675</v>
      </c>
      <c r="V1" s="9">
        <f>IF(config!AB12&lt;&gt;"",DATE($A$2,$A$4,config!AB12),"")</f>
        <v>45676</v>
      </c>
      <c r="W1" s="27">
        <f>IF(config!AC12&lt;&gt;"",DATE($A$2,$A$4,config!AC12),"")</f>
        <v>45677</v>
      </c>
      <c r="X1" s="20">
        <f>IF(config!AD12&lt;&gt;"",DATE($A$2,$A$4,config!AD12),"")</f>
        <v>45678</v>
      </c>
      <c r="Y1" s="9">
        <f>IF(config!AE12&lt;&gt;"",DATE($A$2,$A$4,config!AE12),"")</f>
        <v>45679</v>
      </c>
      <c r="Z1" s="9">
        <f>IF(config!AF12&lt;&gt;"",DATE($A$2,$A$4,config!AF12),"")</f>
        <v>45680</v>
      </c>
      <c r="AA1" s="9">
        <f>IF(config!AG12&lt;&gt;"",DATE($A$2,$A$4,config!AG12),"")</f>
        <v>45681</v>
      </c>
      <c r="AB1" s="10">
        <f>IF(config!AH12&lt;&gt;"",DATE($A$2,$A$4,config!AH12),"")</f>
        <v>45682</v>
      </c>
      <c r="AC1" s="16">
        <f>IF(config!AI12&lt;&gt;"",DATE($A$2,$A$4,config!AI12),"")</f>
        <v>45683</v>
      </c>
      <c r="AD1" s="9">
        <f>IF(config!AJ12&lt;&gt;"",DATE($A$2,$A$4,config!AJ12),"")</f>
        <v>45684</v>
      </c>
      <c r="AE1" s="9">
        <f>IF(config!AK12&lt;&gt;"",DATE($A$2,$A$4,config!AK12),"")</f>
        <v>45685</v>
      </c>
      <c r="AF1" s="9">
        <f>IF(config!AL12&lt;&gt;"",DATE($A$2,$A$4,config!AL12),"")</f>
        <v>45686</v>
      </c>
      <c r="AG1" s="27">
        <f>IF(config!AM12&lt;&gt;"",DATE($A$2,$A$4,config!AM12),"")</f>
        <v>45687</v>
      </c>
      <c r="AH1" s="30">
        <f>IF(config!AN12&lt;&gt;"",DATE($A$2,$A$4,config!AN12),"")</f>
        <v>45688</v>
      </c>
    </row>
    <row r="2" spans="1:34" ht="19.5" thickBot="1" x14ac:dyDescent="0.45">
      <c r="A2" s="2">
        <f>IF(A4&lt;=3,config!$D$2+1,config!$D$2)</f>
        <v>2025</v>
      </c>
      <c r="B2" s="11" t="s">
        <v>13</v>
      </c>
      <c r="C2" s="13" t="s">
        <v>12</v>
      </c>
      <c r="D2" s="11" t="str">
        <f>IF(COUNTIF(D3,1),"祝",TEXT(D1,"aaa"))</f>
        <v>水</v>
      </c>
      <c r="E2" s="12" t="str">
        <f t="shared" ref="E2:AH2" si="0">IF(COUNTIF(E3,1),"祝",TEXT(E1,"aaa"))</f>
        <v>木</v>
      </c>
      <c r="F2" s="12" t="str">
        <f t="shared" si="0"/>
        <v>金</v>
      </c>
      <c r="G2" s="12" t="str">
        <f t="shared" si="0"/>
        <v>土</v>
      </c>
      <c r="H2" s="13" t="str">
        <f t="shared" si="0"/>
        <v>日</v>
      </c>
      <c r="I2" s="17" t="str">
        <f t="shared" si="0"/>
        <v>月</v>
      </c>
      <c r="J2" s="12" t="str">
        <f t="shared" si="0"/>
        <v>火</v>
      </c>
      <c r="K2" s="12" t="str">
        <f t="shared" si="0"/>
        <v>水</v>
      </c>
      <c r="L2" s="12" t="str">
        <f t="shared" si="0"/>
        <v>木</v>
      </c>
      <c r="M2" s="14" t="str">
        <f t="shared" si="0"/>
        <v>金</v>
      </c>
      <c r="N2" s="11" t="str">
        <f t="shared" si="0"/>
        <v>土</v>
      </c>
      <c r="O2" s="12" t="str">
        <f t="shared" si="0"/>
        <v>日</v>
      </c>
      <c r="P2" s="12" t="str">
        <f t="shared" si="0"/>
        <v>月</v>
      </c>
      <c r="Q2" s="12" t="str">
        <f t="shared" si="0"/>
        <v>火</v>
      </c>
      <c r="R2" s="13" t="str">
        <f t="shared" si="0"/>
        <v>水</v>
      </c>
      <c r="S2" s="17" t="str">
        <f t="shared" si="0"/>
        <v>木</v>
      </c>
      <c r="T2" s="12" t="str">
        <f t="shared" si="0"/>
        <v>金</v>
      </c>
      <c r="U2" s="12" t="str">
        <f t="shared" si="0"/>
        <v>土</v>
      </c>
      <c r="V2" s="12" t="str">
        <f t="shared" si="0"/>
        <v>日</v>
      </c>
      <c r="W2" s="14" t="str">
        <f t="shared" si="0"/>
        <v>月</v>
      </c>
      <c r="X2" s="11" t="str">
        <f t="shared" si="0"/>
        <v>火</v>
      </c>
      <c r="Y2" s="12" t="str">
        <f t="shared" si="0"/>
        <v>水</v>
      </c>
      <c r="Z2" s="12" t="str">
        <f t="shared" si="0"/>
        <v>木</v>
      </c>
      <c r="AA2" s="12" t="str">
        <f t="shared" si="0"/>
        <v>金</v>
      </c>
      <c r="AB2" s="13" t="str">
        <f t="shared" si="0"/>
        <v>土</v>
      </c>
      <c r="AC2" s="17" t="str">
        <f t="shared" si="0"/>
        <v>日</v>
      </c>
      <c r="AD2" s="12" t="str">
        <f t="shared" si="0"/>
        <v>月</v>
      </c>
      <c r="AE2" s="12" t="str">
        <f t="shared" si="0"/>
        <v>火</v>
      </c>
      <c r="AF2" s="12" t="str">
        <f t="shared" si="0"/>
        <v>水</v>
      </c>
      <c r="AG2" s="14" t="str">
        <f t="shared" si="0"/>
        <v>木</v>
      </c>
      <c r="AH2" s="31" t="str">
        <f t="shared" si="0"/>
        <v>金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1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>／</v>
      </c>
      <c r="H4" s="22" t="str">
        <f t="shared" si="1"/>
        <v>／</v>
      </c>
      <c r="I4" s="18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28" t="str">
        <f t="shared" si="1"/>
        <v/>
      </c>
      <c r="N4" s="21" t="str">
        <f t="shared" si="1"/>
        <v>／</v>
      </c>
      <c r="O4" s="7" t="str">
        <f t="shared" si="1"/>
        <v>／</v>
      </c>
      <c r="P4" s="7" t="str">
        <f t="shared" si="1"/>
        <v/>
      </c>
      <c r="Q4" s="7" t="str">
        <f t="shared" si="1"/>
        <v/>
      </c>
      <c r="R4" s="22" t="str">
        <f t="shared" si="1"/>
        <v/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>／</v>
      </c>
      <c r="V4" s="7" t="str">
        <f t="shared" si="2"/>
        <v>／</v>
      </c>
      <c r="W4" s="28" t="str">
        <f t="shared" si="2"/>
        <v/>
      </c>
      <c r="X4" s="21" t="str">
        <f t="shared" si="2"/>
        <v/>
      </c>
      <c r="Y4" s="7" t="str">
        <f t="shared" si="2"/>
        <v/>
      </c>
      <c r="Z4" s="7" t="str">
        <f t="shared" si="2"/>
        <v/>
      </c>
      <c r="AA4" s="7" t="str">
        <f t="shared" si="2"/>
        <v/>
      </c>
      <c r="AB4" s="22" t="str">
        <f t="shared" si="2"/>
        <v>／</v>
      </c>
      <c r="AC4" s="18" t="str">
        <f t="shared" si="2"/>
        <v>／</v>
      </c>
      <c r="AD4" s="7" t="str">
        <f t="shared" si="2"/>
        <v/>
      </c>
      <c r="AE4" s="7" t="str">
        <f t="shared" si="2"/>
        <v/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/>
      </c>
      <c r="G5" s="3" t="str">
        <f t="shared" si="1"/>
        <v>／</v>
      </c>
      <c r="H5" s="24" t="str">
        <f t="shared" si="1"/>
        <v>／</v>
      </c>
      <c r="I5" s="19" t="str">
        <f t="shared" si="1"/>
        <v/>
      </c>
      <c r="J5" s="3" t="str">
        <f t="shared" si="1"/>
        <v/>
      </c>
      <c r="K5" s="3" t="str">
        <f t="shared" si="1"/>
        <v/>
      </c>
      <c r="L5" s="3" t="str">
        <f t="shared" si="1"/>
        <v/>
      </c>
      <c r="M5" s="15" t="str">
        <f t="shared" si="1"/>
        <v/>
      </c>
      <c r="N5" s="23" t="str">
        <f t="shared" si="1"/>
        <v>／</v>
      </c>
      <c r="O5" s="3" t="str">
        <f t="shared" si="1"/>
        <v>／</v>
      </c>
      <c r="P5" s="3" t="str">
        <f t="shared" si="1"/>
        <v/>
      </c>
      <c r="Q5" s="3" t="str">
        <f t="shared" si="1"/>
        <v/>
      </c>
      <c r="R5" s="24" t="str">
        <f t="shared" si="1"/>
        <v/>
      </c>
      <c r="S5" s="19" t="str">
        <f t="shared" si="1"/>
        <v/>
      </c>
      <c r="T5" s="3" t="str">
        <f t="shared" si="1"/>
        <v/>
      </c>
      <c r="U5" s="3" t="str">
        <f t="shared" si="2"/>
        <v>／</v>
      </c>
      <c r="V5" s="3" t="str">
        <f t="shared" si="2"/>
        <v>／</v>
      </c>
      <c r="W5" s="15" t="str">
        <f t="shared" si="2"/>
        <v/>
      </c>
      <c r="X5" s="2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24" t="str">
        <f t="shared" si="2"/>
        <v>／</v>
      </c>
      <c r="AC5" s="19" t="str">
        <f t="shared" si="2"/>
        <v>／</v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K+x/EWjV+agUmKoRJdIi7quWX2qXD7QI4tANWtEJuMsvXNGPRmgQ09paVZ3Ccq8/HgddU35teyq4ylDBST0mkQ==" saltValue="SK90/2FaNJYIdFTY5whfZw==" spinCount="100000" sheet="1" objects="1" scenarios="1"/>
  <phoneticPr fontId="1"/>
  <conditionalFormatting sqref="D1:AH1048576">
    <cfRule type="expression" dxfId="2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H208"/>
  <sheetViews>
    <sheetView workbookViewId="0">
      <selection activeCell="AG1" sqref="AG1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IF(config!J13&lt;&gt;"",DATE($A$2,$A$4,config!J13),"")</f>
        <v>45689</v>
      </c>
      <c r="E1" s="9">
        <f>IF(config!K13&lt;&gt;"",DATE($A$2,$A$4,config!K13),"")</f>
        <v>45690</v>
      </c>
      <c r="F1" s="9">
        <f>IF(config!L13&lt;&gt;"",DATE($A$2,$A$4,config!L13),"")</f>
        <v>45691</v>
      </c>
      <c r="G1" s="9">
        <f>IF(config!M13&lt;&gt;"",DATE($A$2,$A$4,config!M13),"")</f>
        <v>45692</v>
      </c>
      <c r="H1" s="10">
        <f>IF(config!N13&lt;&gt;"",DATE($A$2,$A$4,config!N13),"")</f>
        <v>45693</v>
      </c>
      <c r="I1" s="16">
        <f>IF(config!O13&lt;&gt;"",DATE($A$2,$A$4,config!O13),"")</f>
        <v>45694</v>
      </c>
      <c r="J1" s="9">
        <f>IF(config!P13&lt;&gt;"",DATE($A$2,$A$4,config!P13),"")</f>
        <v>45695</v>
      </c>
      <c r="K1" s="9">
        <f>IF(config!Q13&lt;&gt;"",DATE($A$2,$A$4,config!Q13),"")</f>
        <v>45696</v>
      </c>
      <c r="L1" s="9">
        <f>IF(config!R13&lt;&gt;"",DATE($A$2,$A$4,config!R13),"")</f>
        <v>45697</v>
      </c>
      <c r="M1" s="27">
        <f>IF(config!S13&lt;&gt;"",DATE($A$2,$A$4,config!S13),"")</f>
        <v>45698</v>
      </c>
      <c r="N1" s="20">
        <f>IF(config!T13&lt;&gt;"",DATE($A$2,$A$4,config!T13),"")</f>
        <v>45699</v>
      </c>
      <c r="O1" s="9">
        <f>IF(config!U13&lt;&gt;"",DATE($A$2,$A$4,config!U13),"")</f>
        <v>45700</v>
      </c>
      <c r="P1" s="9">
        <f>IF(config!V13&lt;&gt;"",DATE($A$2,$A$4,config!V13),"")</f>
        <v>45701</v>
      </c>
      <c r="Q1" s="9">
        <f>IF(config!W13&lt;&gt;"",DATE($A$2,$A$4,config!W13),"")</f>
        <v>45702</v>
      </c>
      <c r="R1" s="10">
        <f>IF(config!X13&lt;&gt;"",DATE($A$2,$A$4,config!X13),"")</f>
        <v>45703</v>
      </c>
      <c r="S1" s="16">
        <f>IF(config!Y13&lt;&gt;"",DATE($A$2,$A$4,config!Y13),"")</f>
        <v>45704</v>
      </c>
      <c r="T1" s="9">
        <f>IF(config!Z13&lt;&gt;"",DATE($A$2,$A$4,config!Z13),"")</f>
        <v>45705</v>
      </c>
      <c r="U1" s="9">
        <f>IF(config!AA13&lt;&gt;"",DATE($A$2,$A$4,config!AA13),"")</f>
        <v>45706</v>
      </c>
      <c r="V1" s="9">
        <f>IF(config!AB13&lt;&gt;"",DATE($A$2,$A$4,config!AB13),"")</f>
        <v>45707</v>
      </c>
      <c r="W1" s="27">
        <f>IF(config!AC13&lt;&gt;"",DATE($A$2,$A$4,config!AC13),"")</f>
        <v>45708</v>
      </c>
      <c r="X1" s="20">
        <f>IF(config!AD13&lt;&gt;"",DATE($A$2,$A$4,config!AD13),"")</f>
        <v>45709</v>
      </c>
      <c r="Y1" s="9">
        <f>IF(config!AE13&lt;&gt;"",DATE($A$2,$A$4,config!AE13),"")</f>
        <v>45710</v>
      </c>
      <c r="Z1" s="9">
        <f>IF(config!AF13&lt;&gt;"",DATE($A$2,$A$4,config!AF13),"")</f>
        <v>45711</v>
      </c>
      <c r="AA1" s="9">
        <f>IF(config!AG13&lt;&gt;"",DATE($A$2,$A$4,config!AG13),"")</f>
        <v>45712</v>
      </c>
      <c r="AB1" s="10">
        <f>IF(config!AH13&lt;&gt;"",DATE($A$2,$A$4,config!AH13),"")</f>
        <v>45713</v>
      </c>
      <c r="AC1" s="16">
        <f>IF(config!AI13&lt;&gt;"",DATE($A$2,$A$4,config!AI13),"")</f>
        <v>45714</v>
      </c>
      <c r="AD1" s="9">
        <f>IF(config!AJ13&lt;&gt;"",DATE($A$2,$A$4,config!AJ13),"")</f>
        <v>45715</v>
      </c>
      <c r="AE1" s="9">
        <f>IF(config!AK13&lt;&gt;"",DATE($A$2,$A$4,config!AK13),"")</f>
        <v>45716</v>
      </c>
      <c r="AF1" s="9" t="str">
        <f>IF(config!AL13&lt;&gt;"",DATE($A$2,$A$4,config!AL13),"")</f>
        <v/>
      </c>
      <c r="AG1" s="27" t="str">
        <f>IF(config!AM13&lt;&gt;"",DATE($A$2,$A$4,config!AM13),"")</f>
        <v/>
      </c>
      <c r="AH1" s="30" t="str">
        <f>IF(config!AN13&lt;&gt;"",DATE($A$2,$A$4,config!AN13),"")</f>
        <v/>
      </c>
    </row>
    <row r="2" spans="1:34" ht="19.5" thickBot="1" x14ac:dyDescent="0.45">
      <c r="A2" s="2">
        <f>IF(A4&lt;=3,config!$D$2+1,config!$D$2)</f>
        <v>2025</v>
      </c>
      <c r="B2" s="11" t="s">
        <v>13</v>
      </c>
      <c r="C2" s="13" t="s">
        <v>12</v>
      </c>
      <c r="D2" s="11" t="str">
        <f>IF(COUNTIF(D3,1),"祝",TEXT(D1,"aaa"))</f>
        <v>土</v>
      </c>
      <c r="E2" s="12" t="str">
        <f t="shared" ref="E2:AH2" si="0">IF(COUNTIF(E3,1),"祝",TEXT(E1,"aaa"))</f>
        <v>日</v>
      </c>
      <c r="F2" s="12" t="str">
        <f t="shared" si="0"/>
        <v>月</v>
      </c>
      <c r="G2" s="12" t="str">
        <f t="shared" si="0"/>
        <v>火</v>
      </c>
      <c r="H2" s="13" t="str">
        <f t="shared" si="0"/>
        <v>水</v>
      </c>
      <c r="I2" s="17" t="str">
        <f t="shared" si="0"/>
        <v>木</v>
      </c>
      <c r="J2" s="12" t="str">
        <f t="shared" si="0"/>
        <v>金</v>
      </c>
      <c r="K2" s="12" t="str">
        <f t="shared" si="0"/>
        <v>土</v>
      </c>
      <c r="L2" s="12" t="str">
        <f t="shared" si="0"/>
        <v>日</v>
      </c>
      <c r="M2" s="14" t="str">
        <f t="shared" si="0"/>
        <v>月</v>
      </c>
      <c r="N2" s="11" t="str">
        <f t="shared" si="0"/>
        <v>火</v>
      </c>
      <c r="O2" s="12" t="str">
        <f t="shared" si="0"/>
        <v>水</v>
      </c>
      <c r="P2" s="12" t="str">
        <f t="shared" si="0"/>
        <v>木</v>
      </c>
      <c r="Q2" s="12" t="str">
        <f t="shared" si="0"/>
        <v>金</v>
      </c>
      <c r="R2" s="13" t="str">
        <f t="shared" si="0"/>
        <v>土</v>
      </c>
      <c r="S2" s="17" t="str">
        <f t="shared" si="0"/>
        <v>日</v>
      </c>
      <c r="T2" s="12" t="str">
        <f t="shared" si="0"/>
        <v>月</v>
      </c>
      <c r="U2" s="12" t="str">
        <f t="shared" si="0"/>
        <v>火</v>
      </c>
      <c r="V2" s="12" t="str">
        <f t="shared" si="0"/>
        <v>水</v>
      </c>
      <c r="W2" s="14" t="str">
        <f t="shared" si="0"/>
        <v>木</v>
      </c>
      <c r="X2" s="11" t="str">
        <f t="shared" si="0"/>
        <v>金</v>
      </c>
      <c r="Y2" s="12" t="str">
        <f t="shared" si="0"/>
        <v>土</v>
      </c>
      <c r="Z2" s="12" t="str">
        <f t="shared" si="0"/>
        <v>日</v>
      </c>
      <c r="AA2" s="12" t="str">
        <f t="shared" si="0"/>
        <v>月</v>
      </c>
      <c r="AB2" s="13" t="str">
        <f t="shared" si="0"/>
        <v>火</v>
      </c>
      <c r="AC2" s="17" t="str">
        <f t="shared" si="0"/>
        <v>水</v>
      </c>
      <c r="AD2" s="12" t="str">
        <f t="shared" si="0"/>
        <v>木</v>
      </c>
      <c r="AE2" s="12" t="str">
        <f t="shared" si="0"/>
        <v>金</v>
      </c>
      <c r="AF2" s="12" t="str">
        <f t="shared" si="0"/>
        <v/>
      </c>
      <c r="AG2" s="14" t="str">
        <f t="shared" si="0"/>
        <v/>
      </c>
      <c r="AH2" s="31" t="str">
        <f t="shared" si="0"/>
        <v/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2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>／</v>
      </c>
      <c r="E4" s="7" t="str">
        <f t="shared" ref="E4:T5" si="1">IF(E$2="祝","／",IF(E$2="土","／",IF(E$2="日","／","")))</f>
        <v>／</v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/>
      </c>
      <c r="K4" s="7" t="str">
        <f t="shared" si="1"/>
        <v>／</v>
      </c>
      <c r="L4" s="7" t="str">
        <f t="shared" si="1"/>
        <v>／</v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22" t="str">
        <f t="shared" si="1"/>
        <v>／</v>
      </c>
      <c r="S4" s="18" t="str">
        <f t="shared" si="1"/>
        <v>／</v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/>
      </c>
      <c r="Y4" s="7" t="str">
        <f t="shared" si="2"/>
        <v>／</v>
      </c>
      <c r="Z4" s="7" t="str">
        <f t="shared" si="2"/>
        <v>／</v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/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>／</v>
      </c>
      <c r="E5" s="3" t="str">
        <f t="shared" si="1"/>
        <v>／</v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/>
      </c>
      <c r="K5" s="3" t="str">
        <f t="shared" si="1"/>
        <v>／</v>
      </c>
      <c r="L5" s="3" t="str">
        <f t="shared" si="1"/>
        <v>／</v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24" t="str">
        <f t="shared" si="1"/>
        <v>／</v>
      </c>
      <c r="S5" s="19" t="str">
        <f t="shared" si="1"/>
        <v>／</v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/>
      </c>
      <c r="Y5" s="3" t="str">
        <f t="shared" si="2"/>
        <v>／</v>
      </c>
      <c r="Z5" s="3" t="str">
        <f t="shared" si="2"/>
        <v>／</v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nlR9BPRUefmzOk4drotxhd2a17ZWaDnltCVwWrNTrOXs4CafGUoyCgtRXDWocz388wwdBeSzq9P4WvFId8jK6w==" saltValue="UzhA23YdTDJ3Wv+bZFP/vQ==" spinCount="100000" sheet="1" objects="1" scenarios="1"/>
  <phoneticPr fontId="1"/>
  <conditionalFormatting sqref="D1:AH1048576">
    <cfRule type="expression" dxfId="1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H208"/>
  <sheetViews>
    <sheetView workbookViewId="0">
      <selection activeCell="E1" sqref="E1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IF(config!J14&lt;&gt;"",DATE($A$2,$A$4,config!J14),"")</f>
        <v>45717</v>
      </c>
      <c r="E1" s="9">
        <f>IF(config!K14&lt;&gt;"",DATE($A$2,$A$4,config!K14),"")</f>
        <v>45718</v>
      </c>
      <c r="F1" s="9">
        <f>IF(config!L14&lt;&gt;"",DATE($A$2,$A$4,config!L14),"")</f>
        <v>45719</v>
      </c>
      <c r="G1" s="9">
        <f>IF(config!M14&lt;&gt;"",DATE($A$2,$A$4,config!M14),"")</f>
        <v>45720</v>
      </c>
      <c r="H1" s="10">
        <f>IF(config!N14&lt;&gt;"",DATE($A$2,$A$4,config!N14),"")</f>
        <v>45721</v>
      </c>
      <c r="I1" s="16">
        <f>IF(config!O14&lt;&gt;"",DATE($A$2,$A$4,config!O14),"")</f>
        <v>45722</v>
      </c>
      <c r="J1" s="9">
        <f>IF(config!P14&lt;&gt;"",DATE($A$2,$A$4,config!P14),"")</f>
        <v>45723</v>
      </c>
      <c r="K1" s="9">
        <f>IF(config!Q14&lt;&gt;"",DATE($A$2,$A$4,config!Q14),"")</f>
        <v>45724</v>
      </c>
      <c r="L1" s="9">
        <f>IF(config!R14&lt;&gt;"",DATE($A$2,$A$4,config!R14),"")</f>
        <v>45725</v>
      </c>
      <c r="M1" s="27">
        <f>IF(config!S14&lt;&gt;"",DATE($A$2,$A$4,config!S14),"")</f>
        <v>45726</v>
      </c>
      <c r="N1" s="20">
        <f>IF(config!T14&lt;&gt;"",DATE($A$2,$A$4,config!T14),"")</f>
        <v>45727</v>
      </c>
      <c r="O1" s="9">
        <f>IF(config!U14&lt;&gt;"",DATE($A$2,$A$4,config!U14),"")</f>
        <v>45728</v>
      </c>
      <c r="P1" s="9">
        <f>IF(config!V14&lt;&gt;"",DATE($A$2,$A$4,config!V14),"")</f>
        <v>45729</v>
      </c>
      <c r="Q1" s="9">
        <f>IF(config!W14&lt;&gt;"",DATE($A$2,$A$4,config!W14),"")</f>
        <v>45730</v>
      </c>
      <c r="R1" s="10">
        <f>IF(config!X14&lt;&gt;"",DATE($A$2,$A$4,config!X14),"")</f>
        <v>45731</v>
      </c>
      <c r="S1" s="16">
        <f>IF(config!Y14&lt;&gt;"",DATE($A$2,$A$4,config!Y14),"")</f>
        <v>45732</v>
      </c>
      <c r="T1" s="9">
        <f>IF(config!Z14&lt;&gt;"",DATE($A$2,$A$4,config!Z14),"")</f>
        <v>45733</v>
      </c>
      <c r="U1" s="9">
        <f>IF(config!AA14&lt;&gt;"",DATE($A$2,$A$4,config!AA14),"")</f>
        <v>45734</v>
      </c>
      <c r="V1" s="9">
        <f>IF(config!AB14&lt;&gt;"",DATE($A$2,$A$4,config!AB14),"")</f>
        <v>45735</v>
      </c>
      <c r="W1" s="27">
        <f>IF(config!AC14&lt;&gt;"",DATE($A$2,$A$4,config!AC14),"")</f>
        <v>45736</v>
      </c>
      <c r="X1" s="20">
        <f>IF(config!AD14&lt;&gt;"",DATE($A$2,$A$4,config!AD14),"")</f>
        <v>45737</v>
      </c>
      <c r="Y1" s="9">
        <f>IF(config!AE14&lt;&gt;"",DATE($A$2,$A$4,config!AE14),"")</f>
        <v>45738</v>
      </c>
      <c r="Z1" s="9">
        <f>IF(config!AF14&lt;&gt;"",DATE($A$2,$A$4,config!AF14),"")</f>
        <v>45739</v>
      </c>
      <c r="AA1" s="9">
        <f>IF(config!AG14&lt;&gt;"",DATE($A$2,$A$4,config!AG14),"")</f>
        <v>45740</v>
      </c>
      <c r="AB1" s="10">
        <f>IF(config!AH14&lt;&gt;"",DATE($A$2,$A$4,config!AH14),"")</f>
        <v>45741</v>
      </c>
      <c r="AC1" s="16">
        <f>IF(config!AI14&lt;&gt;"",DATE($A$2,$A$4,config!AI14),"")</f>
        <v>45742</v>
      </c>
      <c r="AD1" s="9">
        <f>IF(config!AJ14&lt;&gt;"",DATE($A$2,$A$4,config!AJ14),"")</f>
        <v>45743</v>
      </c>
      <c r="AE1" s="9">
        <f>IF(config!AK14&lt;&gt;"",DATE($A$2,$A$4,config!AK14),"")</f>
        <v>45744</v>
      </c>
      <c r="AF1" s="9">
        <f>IF(config!AL14&lt;&gt;"",DATE($A$2,$A$4,config!AL14),"")</f>
        <v>45745</v>
      </c>
      <c r="AG1" s="27">
        <f>IF(config!AM14&lt;&gt;"",DATE($A$2,$A$4,config!AM14),"")</f>
        <v>45746</v>
      </c>
      <c r="AH1" s="30">
        <f>IF(config!AN14&lt;&gt;"",DATE($A$2,$A$4,config!AN14),"")</f>
        <v>45747</v>
      </c>
    </row>
    <row r="2" spans="1:34" ht="19.5" thickBot="1" x14ac:dyDescent="0.45">
      <c r="A2" s="2">
        <f>IF(A4&lt;=3,config!$D$2+1,config!$D$2)</f>
        <v>2025</v>
      </c>
      <c r="B2" s="11" t="s">
        <v>13</v>
      </c>
      <c r="C2" s="13" t="s">
        <v>12</v>
      </c>
      <c r="D2" s="11" t="str">
        <f>IF(COUNTIF(D3,1),"祝",TEXT(D1,"aaa"))</f>
        <v>土</v>
      </c>
      <c r="E2" s="12" t="str">
        <f t="shared" ref="E2:AH2" si="0">IF(COUNTIF(E3,1),"祝",TEXT(E1,"aaa"))</f>
        <v>日</v>
      </c>
      <c r="F2" s="12" t="str">
        <f t="shared" si="0"/>
        <v>月</v>
      </c>
      <c r="G2" s="12" t="str">
        <f t="shared" si="0"/>
        <v>火</v>
      </c>
      <c r="H2" s="13" t="str">
        <f t="shared" si="0"/>
        <v>水</v>
      </c>
      <c r="I2" s="17" t="str">
        <f t="shared" si="0"/>
        <v>木</v>
      </c>
      <c r="J2" s="12" t="str">
        <f t="shared" si="0"/>
        <v>金</v>
      </c>
      <c r="K2" s="12" t="str">
        <f t="shared" si="0"/>
        <v>土</v>
      </c>
      <c r="L2" s="12" t="str">
        <f t="shared" si="0"/>
        <v>日</v>
      </c>
      <c r="M2" s="14" t="str">
        <f t="shared" si="0"/>
        <v>月</v>
      </c>
      <c r="N2" s="11" t="str">
        <f t="shared" si="0"/>
        <v>火</v>
      </c>
      <c r="O2" s="12" t="str">
        <f t="shared" si="0"/>
        <v>水</v>
      </c>
      <c r="P2" s="12" t="str">
        <f t="shared" si="0"/>
        <v>木</v>
      </c>
      <c r="Q2" s="12" t="str">
        <f t="shared" si="0"/>
        <v>金</v>
      </c>
      <c r="R2" s="13" t="str">
        <f t="shared" si="0"/>
        <v>土</v>
      </c>
      <c r="S2" s="17" t="str">
        <f t="shared" si="0"/>
        <v>日</v>
      </c>
      <c r="T2" s="12" t="str">
        <f t="shared" si="0"/>
        <v>月</v>
      </c>
      <c r="U2" s="12" t="str">
        <f t="shared" si="0"/>
        <v>火</v>
      </c>
      <c r="V2" s="12" t="str">
        <f t="shared" si="0"/>
        <v>水</v>
      </c>
      <c r="W2" s="14" t="str">
        <f t="shared" si="0"/>
        <v>木</v>
      </c>
      <c r="X2" s="11" t="str">
        <f t="shared" si="0"/>
        <v>金</v>
      </c>
      <c r="Y2" s="12" t="str">
        <f t="shared" si="0"/>
        <v>土</v>
      </c>
      <c r="Z2" s="12" t="str">
        <f t="shared" si="0"/>
        <v>日</v>
      </c>
      <c r="AA2" s="12" t="str">
        <f t="shared" si="0"/>
        <v>月</v>
      </c>
      <c r="AB2" s="13" t="str">
        <f t="shared" si="0"/>
        <v>火</v>
      </c>
      <c r="AC2" s="17" t="str">
        <f t="shared" si="0"/>
        <v>水</v>
      </c>
      <c r="AD2" s="12" t="str">
        <f t="shared" si="0"/>
        <v>木</v>
      </c>
      <c r="AE2" s="12" t="str">
        <f t="shared" si="0"/>
        <v>金</v>
      </c>
      <c r="AF2" s="12" t="str">
        <f t="shared" si="0"/>
        <v>土</v>
      </c>
      <c r="AG2" s="14" t="str">
        <f t="shared" si="0"/>
        <v>日</v>
      </c>
      <c r="AH2" s="31" t="str">
        <f t="shared" si="0"/>
        <v>月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3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>／</v>
      </c>
      <c r="E4" s="7" t="str">
        <f t="shared" ref="E4:T5" si="1">IF(E$2="祝","／",IF(E$2="土","／",IF(E$2="日","／","")))</f>
        <v>／</v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/>
      </c>
      <c r="K4" s="7" t="str">
        <f t="shared" si="1"/>
        <v>／</v>
      </c>
      <c r="L4" s="7" t="str">
        <f t="shared" si="1"/>
        <v>／</v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22" t="str">
        <f t="shared" si="1"/>
        <v>／</v>
      </c>
      <c r="S4" s="18" t="str">
        <f t="shared" si="1"/>
        <v>／</v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/>
      </c>
      <c r="Y4" s="7" t="str">
        <f t="shared" si="2"/>
        <v>／</v>
      </c>
      <c r="Z4" s="7" t="str">
        <f t="shared" si="2"/>
        <v>／</v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/>
      </c>
      <c r="AF4" s="7" t="str">
        <f t="shared" si="2"/>
        <v>／</v>
      </c>
      <c r="AG4" s="28" t="str">
        <f t="shared" si="2"/>
        <v>／</v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>／</v>
      </c>
      <c r="E5" s="3" t="str">
        <f t="shared" si="1"/>
        <v>／</v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/>
      </c>
      <c r="K5" s="3" t="str">
        <f t="shared" si="1"/>
        <v>／</v>
      </c>
      <c r="L5" s="3" t="str">
        <f t="shared" si="1"/>
        <v>／</v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24" t="str">
        <f t="shared" si="1"/>
        <v>／</v>
      </c>
      <c r="S5" s="19" t="str">
        <f t="shared" si="1"/>
        <v>／</v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/>
      </c>
      <c r="Y5" s="3" t="str">
        <f t="shared" si="2"/>
        <v>／</v>
      </c>
      <c r="Z5" s="3" t="str">
        <f t="shared" si="2"/>
        <v>／</v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>／</v>
      </c>
      <c r="AG5" s="15" t="str">
        <f t="shared" si="2"/>
        <v>／</v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c2gI0U7Y8fg6IuOWetQzf11IC7N5naKCQZXQKkTVYHKxonWG9zXA6opD7Gu7JjtJclMBCzbzzYU/73hr7dbSmQ==" saltValue="dm/E7LWjIq9Brehv2mhqJw==" spinCount="100000" sheet="1" objects="1" scenarios="1"/>
  <phoneticPr fontId="1"/>
  <conditionalFormatting sqref="D1:AH1048576">
    <cfRule type="expression" dxfId="0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D208"/>
  <sheetViews>
    <sheetView workbookViewId="0">
      <selection activeCell="C155" sqref="C155"/>
    </sheetView>
  </sheetViews>
  <sheetFormatPr defaultRowHeight="18.75" x14ac:dyDescent="0.4"/>
  <cols>
    <col min="2" max="3" width="12.375" bestFit="1" customWidth="1"/>
    <col min="4" max="4" width="8.5" style="5" bestFit="1" customWidth="1"/>
  </cols>
  <sheetData>
    <row r="1" spans="1:4" x14ac:dyDescent="0.4">
      <c r="B1" t="s">
        <v>37</v>
      </c>
    </row>
    <row r="3" spans="1:4" x14ac:dyDescent="0.4">
      <c r="B3" s="2" t="s">
        <v>2</v>
      </c>
      <c r="C3" s="2" t="s">
        <v>3</v>
      </c>
      <c r="D3" s="5" t="s">
        <v>18</v>
      </c>
    </row>
    <row r="4" spans="1:4" x14ac:dyDescent="0.4">
      <c r="A4" t="s">
        <v>19</v>
      </c>
      <c r="B4" t="s">
        <v>4</v>
      </c>
      <c r="C4" s="48" t="s">
        <v>51</v>
      </c>
      <c r="D4" s="49" t="s">
        <v>201</v>
      </c>
    </row>
    <row r="5" spans="1:4" x14ac:dyDescent="0.4">
      <c r="A5" t="s">
        <v>20</v>
      </c>
      <c r="B5" t="s">
        <v>5</v>
      </c>
      <c r="C5" s="48" t="s">
        <v>52</v>
      </c>
      <c r="D5" s="49" t="s">
        <v>202</v>
      </c>
    </row>
    <row r="6" spans="1:4" x14ac:dyDescent="0.4">
      <c r="B6" t="s">
        <v>6</v>
      </c>
      <c r="C6" s="48" t="s">
        <v>53</v>
      </c>
      <c r="D6" s="49" t="s">
        <v>203</v>
      </c>
    </row>
    <row r="7" spans="1:4" x14ac:dyDescent="0.4">
      <c r="B7" t="s">
        <v>6</v>
      </c>
      <c r="C7" s="48" t="s">
        <v>54</v>
      </c>
      <c r="D7" s="49" t="s">
        <v>204</v>
      </c>
    </row>
    <row r="8" spans="1:4" x14ac:dyDescent="0.4">
      <c r="B8" t="s">
        <v>6</v>
      </c>
      <c r="C8" s="48" t="s">
        <v>55</v>
      </c>
      <c r="D8" s="49" t="s">
        <v>205</v>
      </c>
    </row>
    <row r="9" spans="1:4" x14ac:dyDescent="0.4">
      <c r="B9" t="s">
        <v>6</v>
      </c>
      <c r="C9" s="48" t="s">
        <v>56</v>
      </c>
      <c r="D9" s="49" t="s">
        <v>206</v>
      </c>
    </row>
    <row r="10" spans="1:4" x14ac:dyDescent="0.4">
      <c r="B10" t="s">
        <v>6</v>
      </c>
      <c r="C10" s="48" t="s">
        <v>57</v>
      </c>
      <c r="D10" s="49" t="s">
        <v>207</v>
      </c>
    </row>
    <row r="11" spans="1:4" x14ac:dyDescent="0.4">
      <c r="B11" t="s">
        <v>6</v>
      </c>
      <c r="C11" s="48" t="s">
        <v>58</v>
      </c>
      <c r="D11" s="49" t="s">
        <v>208</v>
      </c>
    </row>
    <row r="12" spans="1:4" x14ac:dyDescent="0.4">
      <c r="B12" t="s">
        <v>6</v>
      </c>
      <c r="C12" s="48" t="s">
        <v>59</v>
      </c>
      <c r="D12" s="49" t="s">
        <v>209</v>
      </c>
    </row>
    <row r="13" spans="1:4" x14ac:dyDescent="0.4">
      <c r="B13" t="s">
        <v>6</v>
      </c>
      <c r="C13" s="48" t="s">
        <v>60</v>
      </c>
      <c r="D13" s="49" t="s">
        <v>210</v>
      </c>
    </row>
    <row r="14" spans="1:4" x14ac:dyDescent="0.4">
      <c r="B14" t="s">
        <v>6</v>
      </c>
      <c r="C14" s="48" t="s">
        <v>61</v>
      </c>
      <c r="D14" s="49" t="s">
        <v>211</v>
      </c>
    </row>
    <row r="15" spans="1:4" x14ac:dyDescent="0.4">
      <c r="B15" t="s">
        <v>6</v>
      </c>
      <c r="C15" s="48" t="s">
        <v>62</v>
      </c>
      <c r="D15" s="49" t="s">
        <v>212</v>
      </c>
    </row>
    <row r="16" spans="1:4" x14ac:dyDescent="0.4">
      <c r="B16" t="s">
        <v>6</v>
      </c>
      <c r="C16" s="48" t="s">
        <v>63</v>
      </c>
      <c r="D16" s="49" t="s">
        <v>213</v>
      </c>
    </row>
    <row r="17" spans="2:4" x14ac:dyDescent="0.4">
      <c r="B17" t="s">
        <v>6</v>
      </c>
      <c r="C17" s="48" t="s">
        <v>64</v>
      </c>
      <c r="D17" s="49" t="s">
        <v>214</v>
      </c>
    </row>
    <row r="18" spans="2:4" x14ac:dyDescent="0.4">
      <c r="B18" t="s">
        <v>6</v>
      </c>
      <c r="C18" s="48" t="s">
        <v>65</v>
      </c>
      <c r="D18" s="49" t="s">
        <v>215</v>
      </c>
    </row>
    <row r="19" spans="2:4" x14ac:dyDescent="0.4">
      <c r="B19" t="s">
        <v>6</v>
      </c>
      <c r="C19" s="48" t="s">
        <v>66</v>
      </c>
      <c r="D19" s="49" t="s">
        <v>216</v>
      </c>
    </row>
    <row r="20" spans="2:4" x14ac:dyDescent="0.4">
      <c r="B20" t="s">
        <v>6</v>
      </c>
      <c r="C20" s="48" t="s">
        <v>67</v>
      </c>
      <c r="D20" s="49" t="s">
        <v>217</v>
      </c>
    </row>
    <row r="21" spans="2:4" x14ac:dyDescent="0.4">
      <c r="B21" t="s">
        <v>6</v>
      </c>
      <c r="C21" s="48" t="s">
        <v>68</v>
      </c>
      <c r="D21" s="49" t="s">
        <v>218</v>
      </c>
    </row>
    <row r="22" spans="2:4" x14ac:dyDescent="0.4">
      <c r="B22" t="s">
        <v>6</v>
      </c>
      <c r="C22" s="48" t="s">
        <v>69</v>
      </c>
      <c r="D22" s="49" t="s">
        <v>219</v>
      </c>
    </row>
    <row r="23" spans="2:4" x14ac:dyDescent="0.4">
      <c r="B23" t="s">
        <v>6</v>
      </c>
      <c r="C23" s="48" t="s">
        <v>70</v>
      </c>
      <c r="D23" s="49" t="s">
        <v>220</v>
      </c>
    </row>
    <row r="24" spans="2:4" x14ac:dyDescent="0.4">
      <c r="B24" t="s">
        <v>6</v>
      </c>
      <c r="C24" s="48" t="s">
        <v>71</v>
      </c>
      <c r="D24" s="49" t="s">
        <v>221</v>
      </c>
    </row>
    <row r="25" spans="2:4" x14ac:dyDescent="0.4">
      <c r="B25" t="s">
        <v>6</v>
      </c>
      <c r="C25" s="48" t="s">
        <v>72</v>
      </c>
      <c r="D25" s="49" t="s">
        <v>222</v>
      </c>
    </row>
    <row r="26" spans="2:4" x14ac:dyDescent="0.4">
      <c r="B26" t="s">
        <v>6</v>
      </c>
      <c r="C26" s="48" t="s">
        <v>73</v>
      </c>
      <c r="D26" s="49" t="s">
        <v>223</v>
      </c>
    </row>
    <row r="27" spans="2:4" x14ac:dyDescent="0.4">
      <c r="B27" t="s">
        <v>6</v>
      </c>
      <c r="C27" s="48" t="s">
        <v>74</v>
      </c>
      <c r="D27" s="49" t="s">
        <v>224</v>
      </c>
    </row>
    <row r="28" spans="2:4" x14ac:dyDescent="0.4">
      <c r="B28" t="s">
        <v>6</v>
      </c>
      <c r="C28" s="48" t="s">
        <v>75</v>
      </c>
      <c r="D28" s="49" t="s">
        <v>225</v>
      </c>
    </row>
    <row r="29" spans="2:4" x14ac:dyDescent="0.4">
      <c r="B29" t="s">
        <v>6</v>
      </c>
      <c r="C29" s="48" t="s">
        <v>76</v>
      </c>
      <c r="D29" s="49" t="s">
        <v>226</v>
      </c>
    </row>
    <row r="30" spans="2:4" x14ac:dyDescent="0.4">
      <c r="B30" t="s">
        <v>6</v>
      </c>
      <c r="C30" s="48" t="s">
        <v>77</v>
      </c>
      <c r="D30" s="49" t="s">
        <v>227</v>
      </c>
    </row>
    <row r="31" spans="2:4" x14ac:dyDescent="0.4">
      <c r="B31" t="s">
        <v>6</v>
      </c>
      <c r="C31" s="48" t="s">
        <v>78</v>
      </c>
      <c r="D31" s="49" t="s">
        <v>228</v>
      </c>
    </row>
    <row r="32" spans="2:4" x14ac:dyDescent="0.4">
      <c r="B32" t="s">
        <v>6</v>
      </c>
      <c r="C32" s="48" t="s">
        <v>79</v>
      </c>
      <c r="D32" s="49" t="s">
        <v>229</v>
      </c>
    </row>
    <row r="33" spans="2:4" x14ac:dyDescent="0.4">
      <c r="B33" t="s">
        <v>6</v>
      </c>
      <c r="C33" s="48" t="s">
        <v>80</v>
      </c>
      <c r="D33" s="49" t="s">
        <v>230</v>
      </c>
    </row>
    <row r="34" spans="2:4" x14ac:dyDescent="0.4">
      <c r="B34" t="s">
        <v>6</v>
      </c>
      <c r="C34" s="48" t="s">
        <v>81</v>
      </c>
      <c r="D34" s="49" t="s">
        <v>231</v>
      </c>
    </row>
    <row r="35" spans="2:4" x14ac:dyDescent="0.4">
      <c r="B35" t="s">
        <v>6</v>
      </c>
      <c r="C35" s="48" t="s">
        <v>82</v>
      </c>
      <c r="D35" s="49" t="s">
        <v>232</v>
      </c>
    </row>
    <row r="36" spans="2:4" x14ac:dyDescent="0.4">
      <c r="B36" t="s">
        <v>6</v>
      </c>
      <c r="C36" s="48" t="s">
        <v>83</v>
      </c>
      <c r="D36" s="49" t="s">
        <v>233</v>
      </c>
    </row>
    <row r="37" spans="2:4" x14ac:dyDescent="0.4">
      <c r="B37" t="s">
        <v>6</v>
      </c>
      <c r="C37" s="48" t="s">
        <v>84</v>
      </c>
      <c r="D37" s="49" t="s">
        <v>234</v>
      </c>
    </row>
    <row r="38" spans="2:4" x14ac:dyDescent="0.4">
      <c r="B38" t="s">
        <v>6</v>
      </c>
      <c r="C38" s="48" t="s">
        <v>85</v>
      </c>
      <c r="D38" s="49" t="s">
        <v>235</v>
      </c>
    </row>
    <row r="39" spans="2:4" x14ac:dyDescent="0.4">
      <c r="B39" t="s">
        <v>6</v>
      </c>
      <c r="C39" s="48" t="s">
        <v>86</v>
      </c>
      <c r="D39" s="49" t="s">
        <v>236</v>
      </c>
    </row>
    <row r="40" spans="2:4" x14ac:dyDescent="0.4">
      <c r="B40" t="s">
        <v>6</v>
      </c>
      <c r="C40" s="48" t="s">
        <v>87</v>
      </c>
      <c r="D40" s="49" t="s">
        <v>237</v>
      </c>
    </row>
    <row r="41" spans="2:4" x14ac:dyDescent="0.4">
      <c r="B41" t="s">
        <v>6</v>
      </c>
      <c r="C41" s="48" t="s">
        <v>88</v>
      </c>
      <c r="D41" s="49" t="s">
        <v>238</v>
      </c>
    </row>
    <row r="42" spans="2:4" x14ac:dyDescent="0.4">
      <c r="B42" t="s">
        <v>6</v>
      </c>
      <c r="C42" s="48" t="s">
        <v>89</v>
      </c>
      <c r="D42" s="49" t="s">
        <v>239</v>
      </c>
    </row>
    <row r="43" spans="2:4" x14ac:dyDescent="0.4">
      <c r="B43" t="s">
        <v>6</v>
      </c>
      <c r="C43" s="48" t="s">
        <v>90</v>
      </c>
      <c r="D43" s="49" t="s">
        <v>240</v>
      </c>
    </row>
    <row r="44" spans="2:4" x14ac:dyDescent="0.4">
      <c r="B44" t="s">
        <v>6</v>
      </c>
      <c r="C44" s="48" t="s">
        <v>91</v>
      </c>
      <c r="D44" s="49" t="s">
        <v>241</v>
      </c>
    </row>
    <row r="45" spans="2:4" x14ac:dyDescent="0.4">
      <c r="B45" t="s">
        <v>6</v>
      </c>
      <c r="C45" s="48" t="s">
        <v>92</v>
      </c>
      <c r="D45" s="49" t="s">
        <v>242</v>
      </c>
    </row>
    <row r="46" spans="2:4" x14ac:dyDescent="0.4">
      <c r="B46" t="s">
        <v>6</v>
      </c>
      <c r="C46" s="48" t="s">
        <v>93</v>
      </c>
      <c r="D46" s="49" t="s">
        <v>243</v>
      </c>
    </row>
    <row r="47" spans="2:4" x14ac:dyDescent="0.4">
      <c r="B47" t="s">
        <v>6</v>
      </c>
      <c r="C47" s="48" t="s">
        <v>94</v>
      </c>
      <c r="D47" s="49" t="s">
        <v>244</v>
      </c>
    </row>
    <row r="48" spans="2:4" x14ac:dyDescent="0.4">
      <c r="B48" t="s">
        <v>6</v>
      </c>
      <c r="C48" s="48" t="s">
        <v>95</v>
      </c>
      <c r="D48" s="49" t="s">
        <v>245</v>
      </c>
    </row>
    <row r="49" spans="2:4" x14ac:dyDescent="0.4">
      <c r="B49" t="s">
        <v>6</v>
      </c>
      <c r="C49" s="48" t="s">
        <v>96</v>
      </c>
      <c r="D49" s="49" t="s">
        <v>246</v>
      </c>
    </row>
    <row r="50" spans="2:4" x14ac:dyDescent="0.4">
      <c r="B50" t="s">
        <v>6</v>
      </c>
      <c r="C50" s="48" t="s">
        <v>97</v>
      </c>
      <c r="D50" s="49" t="s">
        <v>247</v>
      </c>
    </row>
    <row r="51" spans="2:4" x14ac:dyDescent="0.4">
      <c r="B51" t="s">
        <v>6</v>
      </c>
      <c r="C51" s="48" t="s">
        <v>98</v>
      </c>
      <c r="D51" s="49" t="s">
        <v>248</v>
      </c>
    </row>
    <row r="52" spans="2:4" x14ac:dyDescent="0.4">
      <c r="B52" t="s">
        <v>6</v>
      </c>
      <c r="C52" s="48" t="s">
        <v>99</v>
      </c>
      <c r="D52" s="49" t="s">
        <v>249</v>
      </c>
    </row>
    <row r="53" spans="2:4" x14ac:dyDescent="0.4">
      <c r="B53" t="s">
        <v>6</v>
      </c>
      <c r="C53" s="48" t="s">
        <v>100</v>
      </c>
      <c r="D53" s="49" t="s">
        <v>250</v>
      </c>
    </row>
    <row r="54" spans="2:4" x14ac:dyDescent="0.4">
      <c r="B54" t="s">
        <v>6</v>
      </c>
      <c r="C54" s="48" t="s">
        <v>101</v>
      </c>
      <c r="D54" s="49" t="s">
        <v>251</v>
      </c>
    </row>
    <row r="55" spans="2:4" x14ac:dyDescent="0.4">
      <c r="B55" t="s">
        <v>7</v>
      </c>
      <c r="C55" s="48" t="s">
        <v>102</v>
      </c>
      <c r="D55" s="49" t="s">
        <v>252</v>
      </c>
    </row>
    <row r="56" spans="2:4" x14ac:dyDescent="0.4">
      <c r="B56" t="s">
        <v>8</v>
      </c>
      <c r="C56" s="48" t="s">
        <v>103</v>
      </c>
      <c r="D56" s="49" t="s">
        <v>253</v>
      </c>
    </row>
    <row r="57" spans="2:4" x14ac:dyDescent="0.4">
      <c r="B57" t="s">
        <v>9</v>
      </c>
      <c r="C57" s="48" t="s">
        <v>104</v>
      </c>
      <c r="D57" s="49" t="s">
        <v>254</v>
      </c>
    </row>
    <row r="58" spans="2:4" x14ac:dyDescent="0.4">
      <c r="B58" t="s">
        <v>10</v>
      </c>
      <c r="C58" s="48" t="s">
        <v>105</v>
      </c>
      <c r="D58" s="49" t="s">
        <v>255</v>
      </c>
    </row>
    <row r="59" spans="2:4" x14ac:dyDescent="0.4">
      <c r="B59" t="s">
        <v>10</v>
      </c>
      <c r="C59" s="48" t="s">
        <v>106</v>
      </c>
      <c r="D59" s="49" t="s">
        <v>256</v>
      </c>
    </row>
    <row r="60" spans="2:4" x14ac:dyDescent="0.4">
      <c r="B60" t="s">
        <v>10</v>
      </c>
      <c r="C60" s="48" t="s">
        <v>107</v>
      </c>
      <c r="D60" s="49" t="s">
        <v>257</v>
      </c>
    </row>
    <row r="61" spans="2:4" x14ac:dyDescent="0.4">
      <c r="B61" t="s">
        <v>10</v>
      </c>
      <c r="C61" s="48" t="s">
        <v>108</v>
      </c>
      <c r="D61" s="49" t="s">
        <v>258</v>
      </c>
    </row>
    <row r="62" spans="2:4" x14ac:dyDescent="0.4">
      <c r="B62" t="s">
        <v>10</v>
      </c>
      <c r="C62" s="48" t="s">
        <v>109</v>
      </c>
      <c r="D62" s="49" t="s">
        <v>259</v>
      </c>
    </row>
    <row r="63" spans="2:4" x14ac:dyDescent="0.4">
      <c r="B63" t="s">
        <v>11</v>
      </c>
      <c r="C63" s="48" t="s">
        <v>110</v>
      </c>
      <c r="D63" s="49" t="s">
        <v>260</v>
      </c>
    </row>
    <row r="64" spans="2:4" x14ac:dyDescent="0.4">
      <c r="B64" t="s">
        <v>11</v>
      </c>
      <c r="C64" s="48" t="s">
        <v>111</v>
      </c>
      <c r="D64" s="49" t="s">
        <v>261</v>
      </c>
    </row>
    <row r="65" spans="2:4" x14ac:dyDescent="0.4">
      <c r="B65" t="s">
        <v>11</v>
      </c>
      <c r="C65" s="48" t="s">
        <v>112</v>
      </c>
      <c r="D65" s="49" t="s">
        <v>262</v>
      </c>
    </row>
    <row r="66" spans="2:4" x14ac:dyDescent="0.4">
      <c r="C66" s="48" t="s">
        <v>113</v>
      </c>
      <c r="D66" s="49" t="s">
        <v>263</v>
      </c>
    </row>
    <row r="67" spans="2:4" x14ac:dyDescent="0.4">
      <c r="C67" s="48" t="s">
        <v>114</v>
      </c>
      <c r="D67" s="49" t="s">
        <v>264</v>
      </c>
    </row>
    <row r="68" spans="2:4" x14ac:dyDescent="0.4">
      <c r="C68" s="48" t="s">
        <v>115</v>
      </c>
      <c r="D68" s="49" t="s">
        <v>265</v>
      </c>
    </row>
    <row r="69" spans="2:4" x14ac:dyDescent="0.4">
      <c r="C69" s="48" t="s">
        <v>116</v>
      </c>
      <c r="D69" s="49" t="s">
        <v>266</v>
      </c>
    </row>
    <row r="70" spans="2:4" x14ac:dyDescent="0.4">
      <c r="C70" s="48" t="s">
        <v>117</v>
      </c>
      <c r="D70" s="49" t="s">
        <v>267</v>
      </c>
    </row>
    <row r="71" spans="2:4" x14ac:dyDescent="0.4">
      <c r="C71" s="48" t="s">
        <v>118</v>
      </c>
      <c r="D71" s="49" t="s">
        <v>268</v>
      </c>
    </row>
    <row r="72" spans="2:4" x14ac:dyDescent="0.4">
      <c r="C72" s="48" t="s">
        <v>119</v>
      </c>
      <c r="D72" s="49" t="s">
        <v>269</v>
      </c>
    </row>
    <row r="73" spans="2:4" x14ac:dyDescent="0.4">
      <c r="C73" s="48" t="s">
        <v>120</v>
      </c>
      <c r="D73" s="49" t="s">
        <v>270</v>
      </c>
    </row>
    <row r="74" spans="2:4" x14ac:dyDescent="0.4">
      <c r="C74" s="48" t="s">
        <v>121</v>
      </c>
      <c r="D74" s="49" t="s">
        <v>271</v>
      </c>
    </row>
    <row r="75" spans="2:4" x14ac:dyDescent="0.4">
      <c r="C75" s="48" t="s">
        <v>122</v>
      </c>
      <c r="D75" s="49" t="s">
        <v>272</v>
      </c>
    </row>
    <row r="76" spans="2:4" x14ac:dyDescent="0.4">
      <c r="C76" s="48" t="s">
        <v>123</v>
      </c>
      <c r="D76" s="49" t="s">
        <v>273</v>
      </c>
    </row>
    <row r="77" spans="2:4" x14ac:dyDescent="0.4">
      <c r="C77" s="48" t="s">
        <v>124</v>
      </c>
      <c r="D77" s="49" t="s">
        <v>274</v>
      </c>
    </row>
    <row r="78" spans="2:4" x14ac:dyDescent="0.4">
      <c r="C78" s="48" t="s">
        <v>125</v>
      </c>
      <c r="D78" s="49" t="s">
        <v>275</v>
      </c>
    </row>
    <row r="79" spans="2:4" x14ac:dyDescent="0.4">
      <c r="C79" s="48" t="s">
        <v>126</v>
      </c>
      <c r="D79" s="49" t="s">
        <v>276</v>
      </c>
    </row>
    <row r="80" spans="2:4" x14ac:dyDescent="0.4">
      <c r="C80" s="48" t="s">
        <v>127</v>
      </c>
      <c r="D80" s="49" t="s">
        <v>277</v>
      </c>
    </row>
    <row r="81" spans="3:4" x14ac:dyDescent="0.4">
      <c r="C81" s="48" t="s">
        <v>128</v>
      </c>
      <c r="D81" s="49" t="s">
        <v>278</v>
      </c>
    </row>
    <row r="82" spans="3:4" x14ac:dyDescent="0.4">
      <c r="C82" s="48" t="s">
        <v>129</v>
      </c>
      <c r="D82" s="49" t="s">
        <v>279</v>
      </c>
    </row>
    <row r="83" spans="3:4" x14ac:dyDescent="0.4">
      <c r="C83" s="48" t="s">
        <v>130</v>
      </c>
      <c r="D83" s="49" t="s">
        <v>280</v>
      </c>
    </row>
    <row r="84" spans="3:4" x14ac:dyDescent="0.4">
      <c r="C84" s="48" t="s">
        <v>131</v>
      </c>
      <c r="D84" s="49" t="s">
        <v>281</v>
      </c>
    </row>
    <row r="85" spans="3:4" x14ac:dyDescent="0.4">
      <c r="C85" s="48" t="s">
        <v>132</v>
      </c>
      <c r="D85" s="49" t="s">
        <v>282</v>
      </c>
    </row>
    <row r="86" spans="3:4" x14ac:dyDescent="0.4">
      <c r="C86" s="48" t="s">
        <v>133</v>
      </c>
      <c r="D86" s="49" t="s">
        <v>283</v>
      </c>
    </row>
    <row r="87" spans="3:4" x14ac:dyDescent="0.4">
      <c r="C87" s="48" t="s">
        <v>134</v>
      </c>
      <c r="D87" s="49" t="s">
        <v>284</v>
      </c>
    </row>
    <row r="88" spans="3:4" x14ac:dyDescent="0.4">
      <c r="C88" s="48" t="s">
        <v>135</v>
      </c>
      <c r="D88" s="49" t="s">
        <v>285</v>
      </c>
    </row>
    <row r="89" spans="3:4" x14ac:dyDescent="0.4">
      <c r="C89" s="48" t="s">
        <v>136</v>
      </c>
      <c r="D89" s="49" t="s">
        <v>286</v>
      </c>
    </row>
    <row r="90" spans="3:4" x14ac:dyDescent="0.4">
      <c r="C90" s="48" t="s">
        <v>137</v>
      </c>
      <c r="D90" s="49" t="s">
        <v>287</v>
      </c>
    </row>
    <row r="91" spans="3:4" x14ac:dyDescent="0.4">
      <c r="C91" s="48" t="s">
        <v>138</v>
      </c>
      <c r="D91" s="49" t="s">
        <v>288</v>
      </c>
    </row>
    <row r="92" spans="3:4" x14ac:dyDescent="0.4">
      <c r="C92" s="48" t="s">
        <v>139</v>
      </c>
      <c r="D92" s="49" t="s">
        <v>289</v>
      </c>
    </row>
    <row r="93" spans="3:4" x14ac:dyDescent="0.4">
      <c r="C93" s="48" t="s">
        <v>140</v>
      </c>
      <c r="D93" s="49" t="s">
        <v>290</v>
      </c>
    </row>
    <row r="94" spans="3:4" x14ac:dyDescent="0.4">
      <c r="C94" s="48" t="s">
        <v>141</v>
      </c>
      <c r="D94" s="49" t="s">
        <v>291</v>
      </c>
    </row>
    <row r="95" spans="3:4" x14ac:dyDescent="0.4">
      <c r="C95" s="48" t="s">
        <v>142</v>
      </c>
      <c r="D95" s="49" t="s">
        <v>292</v>
      </c>
    </row>
    <row r="96" spans="3:4" x14ac:dyDescent="0.4">
      <c r="C96" s="48" t="s">
        <v>143</v>
      </c>
      <c r="D96" s="49" t="s">
        <v>293</v>
      </c>
    </row>
    <row r="97" spans="3:4" x14ac:dyDescent="0.4">
      <c r="C97" s="48" t="s">
        <v>144</v>
      </c>
      <c r="D97" s="49" t="s">
        <v>294</v>
      </c>
    </row>
    <row r="98" spans="3:4" x14ac:dyDescent="0.4">
      <c r="C98" s="48" t="s">
        <v>145</v>
      </c>
      <c r="D98" s="49" t="s">
        <v>295</v>
      </c>
    </row>
    <row r="99" spans="3:4" x14ac:dyDescent="0.4">
      <c r="C99" s="48" t="s">
        <v>146</v>
      </c>
      <c r="D99" s="49" t="s">
        <v>296</v>
      </c>
    </row>
    <row r="100" spans="3:4" x14ac:dyDescent="0.4">
      <c r="C100" s="48" t="s">
        <v>147</v>
      </c>
      <c r="D100" s="49" t="s">
        <v>297</v>
      </c>
    </row>
    <row r="101" spans="3:4" x14ac:dyDescent="0.4">
      <c r="C101" s="48" t="s">
        <v>148</v>
      </c>
      <c r="D101" s="49" t="s">
        <v>298</v>
      </c>
    </row>
    <row r="102" spans="3:4" x14ac:dyDescent="0.4">
      <c r="C102" s="48" t="s">
        <v>149</v>
      </c>
      <c r="D102" s="49" t="s">
        <v>299</v>
      </c>
    </row>
    <row r="103" spans="3:4" x14ac:dyDescent="0.4">
      <c r="C103" s="48" t="s">
        <v>150</v>
      </c>
      <c r="D103" s="49" t="s">
        <v>300</v>
      </c>
    </row>
    <row r="104" spans="3:4" x14ac:dyDescent="0.4">
      <c r="C104" s="48" t="s">
        <v>151</v>
      </c>
      <c r="D104" s="49" t="s">
        <v>301</v>
      </c>
    </row>
    <row r="105" spans="3:4" x14ac:dyDescent="0.4">
      <c r="C105" s="48" t="s">
        <v>152</v>
      </c>
      <c r="D105" s="49" t="s">
        <v>302</v>
      </c>
    </row>
    <row r="106" spans="3:4" x14ac:dyDescent="0.4">
      <c r="C106" s="48" t="s">
        <v>153</v>
      </c>
      <c r="D106" s="49" t="s">
        <v>303</v>
      </c>
    </row>
    <row r="107" spans="3:4" x14ac:dyDescent="0.4">
      <c r="C107" s="48" t="s">
        <v>154</v>
      </c>
      <c r="D107" s="49" t="s">
        <v>304</v>
      </c>
    </row>
    <row r="108" spans="3:4" x14ac:dyDescent="0.4">
      <c r="C108" s="48" t="s">
        <v>155</v>
      </c>
      <c r="D108" s="49" t="s">
        <v>305</v>
      </c>
    </row>
    <row r="109" spans="3:4" x14ac:dyDescent="0.4">
      <c r="C109" s="48" t="s">
        <v>156</v>
      </c>
      <c r="D109" s="49" t="s">
        <v>306</v>
      </c>
    </row>
    <row r="110" spans="3:4" x14ac:dyDescent="0.4">
      <c r="C110" s="48" t="s">
        <v>157</v>
      </c>
      <c r="D110" s="49" t="s">
        <v>307</v>
      </c>
    </row>
    <row r="111" spans="3:4" x14ac:dyDescent="0.4">
      <c r="C111" s="48" t="s">
        <v>158</v>
      </c>
      <c r="D111" s="49" t="s">
        <v>308</v>
      </c>
    </row>
    <row r="112" spans="3:4" x14ac:dyDescent="0.4">
      <c r="C112" s="48" t="s">
        <v>159</v>
      </c>
      <c r="D112" s="49" t="s">
        <v>309</v>
      </c>
    </row>
    <row r="113" spans="3:4" x14ac:dyDescent="0.4">
      <c r="C113" s="48" t="s">
        <v>160</v>
      </c>
      <c r="D113" s="49" t="s">
        <v>310</v>
      </c>
    </row>
    <row r="114" spans="3:4" x14ac:dyDescent="0.4">
      <c r="C114" s="48" t="s">
        <v>161</v>
      </c>
      <c r="D114" s="49" t="s">
        <v>311</v>
      </c>
    </row>
    <row r="115" spans="3:4" x14ac:dyDescent="0.4">
      <c r="C115" s="48" t="s">
        <v>162</v>
      </c>
      <c r="D115" s="49" t="s">
        <v>312</v>
      </c>
    </row>
    <row r="116" spans="3:4" x14ac:dyDescent="0.4">
      <c r="C116" s="48" t="s">
        <v>163</v>
      </c>
      <c r="D116" s="49" t="s">
        <v>313</v>
      </c>
    </row>
    <row r="117" spans="3:4" x14ac:dyDescent="0.4">
      <c r="C117" s="48" t="s">
        <v>164</v>
      </c>
      <c r="D117" s="49" t="s">
        <v>314</v>
      </c>
    </row>
    <row r="118" spans="3:4" x14ac:dyDescent="0.4">
      <c r="C118" s="48" t="s">
        <v>165</v>
      </c>
      <c r="D118" s="49" t="s">
        <v>315</v>
      </c>
    </row>
    <row r="119" spans="3:4" x14ac:dyDescent="0.4">
      <c r="C119" s="48" t="s">
        <v>166</v>
      </c>
      <c r="D119" s="49" t="s">
        <v>316</v>
      </c>
    </row>
    <row r="120" spans="3:4" x14ac:dyDescent="0.4">
      <c r="C120" s="48" t="s">
        <v>167</v>
      </c>
      <c r="D120" s="49" t="s">
        <v>317</v>
      </c>
    </row>
    <row r="121" spans="3:4" x14ac:dyDescent="0.4">
      <c r="C121" s="48" t="s">
        <v>168</v>
      </c>
      <c r="D121" s="49" t="s">
        <v>318</v>
      </c>
    </row>
    <row r="122" spans="3:4" x14ac:dyDescent="0.4">
      <c r="C122" s="48" t="s">
        <v>169</v>
      </c>
      <c r="D122" s="49" t="s">
        <v>319</v>
      </c>
    </row>
    <row r="123" spans="3:4" x14ac:dyDescent="0.4">
      <c r="C123" s="48" t="s">
        <v>170</v>
      </c>
      <c r="D123" s="49" t="s">
        <v>320</v>
      </c>
    </row>
    <row r="124" spans="3:4" x14ac:dyDescent="0.4">
      <c r="C124" s="48" t="s">
        <v>171</v>
      </c>
      <c r="D124" s="49" t="s">
        <v>321</v>
      </c>
    </row>
    <row r="125" spans="3:4" x14ac:dyDescent="0.4">
      <c r="C125" s="48" t="s">
        <v>172</v>
      </c>
      <c r="D125" s="49" t="s">
        <v>322</v>
      </c>
    </row>
    <row r="126" spans="3:4" x14ac:dyDescent="0.4">
      <c r="C126" s="48" t="s">
        <v>173</v>
      </c>
      <c r="D126" s="49" t="s">
        <v>323</v>
      </c>
    </row>
    <row r="127" spans="3:4" x14ac:dyDescent="0.4">
      <c r="C127" s="48" t="s">
        <v>174</v>
      </c>
      <c r="D127" s="49" t="s">
        <v>324</v>
      </c>
    </row>
    <row r="128" spans="3:4" x14ac:dyDescent="0.4">
      <c r="C128" s="48" t="s">
        <v>175</v>
      </c>
      <c r="D128" s="49" t="s">
        <v>325</v>
      </c>
    </row>
    <row r="129" spans="3:4" x14ac:dyDescent="0.4">
      <c r="C129" s="48" t="s">
        <v>176</v>
      </c>
      <c r="D129" s="49" t="s">
        <v>326</v>
      </c>
    </row>
    <row r="130" spans="3:4" x14ac:dyDescent="0.4">
      <c r="C130" s="48" t="s">
        <v>177</v>
      </c>
      <c r="D130" s="49" t="s">
        <v>327</v>
      </c>
    </row>
    <row r="131" spans="3:4" x14ac:dyDescent="0.4">
      <c r="C131" s="48" t="s">
        <v>178</v>
      </c>
      <c r="D131" s="49" t="s">
        <v>328</v>
      </c>
    </row>
    <row r="132" spans="3:4" x14ac:dyDescent="0.4">
      <c r="C132" s="48" t="s">
        <v>179</v>
      </c>
      <c r="D132" s="49" t="s">
        <v>329</v>
      </c>
    </row>
    <row r="133" spans="3:4" x14ac:dyDescent="0.4">
      <c r="C133" s="48" t="s">
        <v>180</v>
      </c>
      <c r="D133" s="49" t="s">
        <v>330</v>
      </c>
    </row>
    <row r="134" spans="3:4" x14ac:dyDescent="0.4">
      <c r="C134" s="48" t="s">
        <v>181</v>
      </c>
      <c r="D134" s="49" t="s">
        <v>331</v>
      </c>
    </row>
    <row r="135" spans="3:4" x14ac:dyDescent="0.4">
      <c r="C135" s="48" t="s">
        <v>182</v>
      </c>
      <c r="D135" s="49" t="s">
        <v>332</v>
      </c>
    </row>
    <row r="136" spans="3:4" x14ac:dyDescent="0.4">
      <c r="C136" s="48" t="s">
        <v>183</v>
      </c>
      <c r="D136" s="49" t="s">
        <v>333</v>
      </c>
    </row>
    <row r="137" spans="3:4" x14ac:dyDescent="0.4">
      <c r="C137" s="48" t="s">
        <v>184</v>
      </c>
      <c r="D137" s="49" t="s">
        <v>334</v>
      </c>
    </row>
    <row r="138" spans="3:4" x14ac:dyDescent="0.4">
      <c r="C138" s="48" t="s">
        <v>185</v>
      </c>
      <c r="D138" s="49" t="s">
        <v>335</v>
      </c>
    </row>
    <row r="139" spans="3:4" x14ac:dyDescent="0.4">
      <c r="C139" s="48" t="s">
        <v>186</v>
      </c>
      <c r="D139" s="49" t="s">
        <v>336</v>
      </c>
    </row>
    <row r="140" spans="3:4" x14ac:dyDescent="0.4">
      <c r="C140" s="48" t="s">
        <v>187</v>
      </c>
      <c r="D140" s="49" t="s">
        <v>337</v>
      </c>
    </row>
    <row r="141" spans="3:4" x14ac:dyDescent="0.4">
      <c r="C141" s="48" t="s">
        <v>188</v>
      </c>
      <c r="D141" s="49" t="s">
        <v>338</v>
      </c>
    </row>
    <row r="142" spans="3:4" x14ac:dyDescent="0.4">
      <c r="C142" s="48" t="s">
        <v>189</v>
      </c>
      <c r="D142" s="49" t="s">
        <v>339</v>
      </c>
    </row>
    <row r="143" spans="3:4" x14ac:dyDescent="0.4">
      <c r="C143" s="48" t="s">
        <v>190</v>
      </c>
      <c r="D143" s="49" t="s">
        <v>340</v>
      </c>
    </row>
    <row r="144" spans="3:4" x14ac:dyDescent="0.4">
      <c r="C144" s="48" t="s">
        <v>191</v>
      </c>
      <c r="D144" s="49" t="s">
        <v>341</v>
      </c>
    </row>
    <row r="145" spans="3:4" x14ac:dyDescent="0.4">
      <c r="C145" s="48" t="s">
        <v>192</v>
      </c>
      <c r="D145" s="49" t="s">
        <v>342</v>
      </c>
    </row>
    <row r="146" spans="3:4" x14ac:dyDescent="0.4">
      <c r="C146" s="48" t="s">
        <v>193</v>
      </c>
      <c r="D146" s="49" t="s">
        <v>343</v>
      </c>
    </row>
    <row r="147" spans="3:4" x14ac:dyDescent="0.4">
      <c r="C147" s="48" t="s">
        <v>194</v>
      </c>
      <c r="D147" s="49" t="s">
        <v>344</v>
      </c>
    </row>
    <row r="148" spans="3:4" x14ac:dyDescent="0.4">
      <c r="C148" s="48" t="s">
        <v>195</v>
      </c>
      <c r="D148" s="49" t="s">
        <v>345</v>
      </c>
    </row>
    <row r="149" spans="3:4" x14ac:dyDescent="0.4">
      <c r="C149" s="48" t="s">
        <v>196</v>
      </c>
      <c r="D149" s="49" t="s">
        <v>346</v>
      </c>
    </row>
    <row r="150" spans="3:4" x14ac:dyDescent="0.4">
      <c r="C150" s="48" t="s">
        <v>197</v>
      </c>
      <c r="D150" s="49" t="s">
        <v>347</v>
      </c>
    </row>
    <row r="151" spans="3:4" x14ac:dyDescent="0.4">
      <c r="C151" s="48" t="s">
        <v>198</v>
      </c>
      <c r="D151" s="49" t="s">
        <v>348</v>
      </c>
    </row>
    <row r="152" spans="3:4" x14ac:dyDescent="0.4">
      <c r="C152" s="48" t="s">
        <v>199</v>
      </c>
      <c r="D152" s="49" t="s">
        <v>349</v>
      </c>
    </row>
    <row r="153" spans="3:4" x14ac:dyDescent="0.4">
      <c r="C153" s="48" t="s">
        <v>200</v>
      </c>
      <c r="D153" s="49" t="s">
        <v>350</v>
      </c>
    </row>
    <row r="154" spans="3:4" x14ac:dyDescent="0.4">
      <c r="C154" s="48"/>
      <c r="D154" s="49"/>
    </row>
    <row r="155" spans="3:4" x14ac:dyDescent="0.4">
      <c r="C155" s="48"/>
      <c r="D155" s="49"/>
    </row>
    <row r="156" spans="3:4" x14ac:dyDescent="0.4">
      <c r="C156" s="48"/>
      <c r="D156" s="49"/>
    </row>
    <row r="157" spans="3:4" x14ac:dyDescent="0.4">
      <c r="C157" s="48"/>
      <c r="D157" s="49"/>
    </row>
    <row r="158" spans="3:4" x14ac:dyDescent="0.4">
      <c r="C158" s="48"/>
      <c r="D158" s="49"/>
    </row>
    <row r="159" spans="3:4" x14ac:dyDescent="0.4">
      <c r="C159" s="48"/>
      <c r="D159" s="49"/>
    </row>
    <row r="160" spans="3:4" x14ac:dyDescent="0.4">
      <c r="C160" s="48"/>
      <c r="D160" s="49"/>
    </row>
    <row r="161" spans="3:4" x14ac:dyDescent="0.4">
      <c r="C161" s="48"/>
      <c r="D161" s="49"/>
    </row>
    <row r="162" spans="3:4" x14ac:dyDescent="0.4">
      <c r="C162" s="48"/>
      <c r="D162" s="49"/>
    </row>
    <row r="163" spans="3:4" x14ac:dyDescent="0.4">
      <c r="C163" s="48"/>
      <c r="D163" s="49"/>
    </row>
    <row r="164" spans="3:4" x14ac:dyDescent="0.4">
      <c r="C164" s="48"/>
      <c r="D164" s="49"/>
    </row>
    <row r="165" spans="3:4" x14ac:dyDescent="0.4">
      <c r="C165" s="48"/>
      <c r="D165" s="49"/>
    </row>
    <row r="166" spans="3:4" x14ac:dyDescent="0.4">
      <c r="C166" s="48"/>
      <c r="D166" s="49"/>
    </row>
    <row r="167" spans="3:4" x14ac:dyDescent="0.4">
      <c r="C167" s="48"/>
      <c r="D167" s="49"/>
    </row>
    <row r="168" spans="3:4" x14ac:dyDescent="0.4">
      <c r="C168" s="48"/>
      <c r="D168" s="49"/>
    </row>
    <row r="169" spans="3:4" x14ac:dyDescent="0.4">
      <c r="C169" s="48"/>
      <c r="D169" s="49"/>
    </row>
    <row r="170" spans="3:4" x14ac:dyDescent="0.4">
      <c r="C170" s="48"/>
      <c r="D170" s="49"/>
    </row>
    <row r="171" spans="3:4" x14ac:dyDescent="0.4">
      <c r="C171" s="48"/>
      <c r="D171" s="49"/>
    </row>
    <row r="172" spans="3:4" x14ac:dyDescent="0.4">
      <c r="C172" s="48"/>
      <c r="D172" s="49"/>
    </row>
    <row r="173" spans="3:4" x14ac:dyDescent="0.4">
      <c r="C173" s="48"/>
      <c r="D173" s="49"/>
    </row>
    <row r="174" spans="3:4" x14ac:dyDescent="0.4">
      <c r="C174" s="48"/>
      <c r="D174" s="49"/>
    </row>
    <row r="175" spans="3:4" x14ac:dyDescent="0.4">
      <c r="C175" s="48"/>
      <c r="D175" s="49"/>
    </row>
    <row r="176" spans="3:4" x14ac:dyDescent="0.4">
      <c r="C176" s="48"/>
      <c r="D176" s="49"/>
    </row>
    <row r="177" spans="3:4" x14ac:dyDescent="0.4">
      <c r="C177" s="48"/>
      <c r="D177" s="49"/>
    </row>
    <row r="178" spans="3:4" x14ac:dyDescent="0.4">
      <c r="C178" s="48"/>
      <c r="D178" s="49"/>
    </row>
    <row r="179" spans="3:4" x14ac:dyDescent="0.4">
      <c r="C179" s="48"/>
      <c r="D179" s="49"/>
    </row>
    <row r="180" spans="3:4" x14ac:dyDescent="0.4">
      <c r="C180" s="48"/>
      <c r="D180" s="49"/>
    </row>
    <row r="181" spans="3:4" x14ac:dyDescent="0.4">
      <c r="C181" s="48"/>
      <c r="D181" s="49"/>
    </row>
    <row r="182" spans="3:4" x14ac:dyDescent="0.4">
      <c r="C182" s="48"/>
      <c r="D182" s="49"/>
    </row>
    <row r="183" spans="3:4" x14ac:dyDescent="0.4">
      <c r="C183" s="48"/>
      <c r="D183" s="49"/>
    </row>
    <row r="184" spans="3:4" x14ac:dyDescent="0.4">
      <c r="C184" s="48"/>
      <c r="D184" s="49"/>
    </row>
    <row r="185" spans="3:4" x14ac:dyDescent="0.4">
      <c r="C185" s="48"/>
      <c r="D185" s="49"/>
    </row>
    <row r="186" spans="3:4" x14ac:dyDescent="0.4">
      <c r="C186" s="48"/>
      <c r="D186" s="49"/>
    </row>
    <row r="187" spans="3:4" x14ac:dyDescent="0.4">
      <c r="C187" s="48"/>
      <c r="D187" s="49"/>
    </row>
    <row r="188" spans="3:4" x14ac:dyDescent="0.4">
      <c r="C188" s="48"/>
      <c r="D188" s="49"/>
    </row>
    <row r="189" spans="3:4" x14ac:dyDescent="0.4">
      <c r="C189" s="48"/>
      <c r="D189" s="49"/>
    </row>
    <row r="190" spans="3:4" x14ac:dyDescent="0.4">
      <c r="C190" s="48"/>
      <c r="D190" s="49"/>
    </row>
    <row r="191" spans="3:4" x14ac:dyDescent="0.4">
      <c r="C191" s="48"/>
      <c r="D191" s="49"/>
    </row>
    <row r="192" spans="3:4" x14ac:dyDescent="0.4">
      <c r="C192" s="48"/>
      <c r="D192" s="49"/>
    </row>
    <row r="193" spans="3:4" x14ac:dyDescent="0.4">
      <c r="C193" s="48"/>
      <c r="D193" s="49"/>
    </row>
    <row r="194" spans="3:4" x14ac:dyDescent="0.4">
      <c r="C194" s="48"/>
      <c r="D194" s="49"/>
    </row>
    <row r="195" spans="3:4" x14ac:dyDescent="0.4">
      <c r="C195" s="48"/>
      <c r="D195" s="49"/>
    </row>
    <row r="196" spans="3:4" x14ac:dyDescent="0.4">
      <c r="C196" s="48"/>
      <c r="D196" s="49"/>
    </row>
    <row r="197" spans="3:4" x14ac:dyDescent="0.4">
      <c r="C197" s="48"/>
      <c r="D197" s="49"/>
    </row>
    <row r="198" spans="3:4" x14ac:dyDescent="0.4">
      <c r="C198" s="48"/>
      <c r="D198" s="49"/>
    </row>
    <row r="199" spans="3:4" x14ac:dyDescent="0.4">
      <c r="C199" s="48"/>
      <c r="D199" s="49"/>
    </row>
    <row r="200" spans="3:4" x14ac:dyDescent="0.4">
      <c r="C200" s="48"/>
      <c r="D200" s="49"/>
    </row>
    <row r="201" spans="3:4" x14ac:dyDescent="0.4">
      <c r="C201" s="48"/>
      <c r="D201" s="49"/>
    </row>
    <row r="202" spans="3:4" x14ac:dyDescent="0.4">
      <c r="C202" s="48"/>
      <c r="D202" s="49"/>
    </row>
    <row r="203" spans="3:4" x14ac:dyDescent="0.4">
      <c r="C203" s="48"/>
      <c r="D203" s="49"/>
    </row>
    <row r="204" spans="3:4" x14ac:dyDescent="0.4">
      <c r="C204" s="48"/>
      <c r="D204" s="49"/>
    </row>
    <row r="205" spans="3:4" x14ac:dyDescent="0.4">
      <c r="C205" s="48"/>
      <c r="D205" s="49"/>
    </row>
    <row r="206" spans="3:4" x14ac:dyDescent="0.4">
      <c r="C206" s="48"/>
      <c r="D206" s="49"/>
    </row>
    <row r="207" spans="3:4" x14ac:dyDescent="0.4">
      <c r="C207" s="48"/>
      <c r="D207" s="49"/>
    </row>
    <row r="208" spans="3:4" x14ac:dyDescent="0.4">
      <c r="C208" s="48"/>
      <c r="D208" s="49"/>
    </row>
  </sheetData>
  <phoneticPr fontId="1"/>
  <pageMargins left="0.7" right="0.7" top="0.75" bottom="0.75" header="0.3" footer="0.3"/>
  <pageSetup paperSize="9" orientation="portrait" r:id="rId1"/>
  <ignoredErrors>
    <ignoredError sqref="D4:D153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AN14"/>
  <sheetViews>
    <sheetView workbookViewId="0">
      <selection activeCell="E5" sqref="E5"/>
    </sheetView>
  </sheetViews>
  <sheetFormatPr defaultRowHeight="18.75" x14ac:dyDescent="0.4"/>
  <cols>
    <col min="9" max="9" width="10.875" bestFit="1" customWidth="1"/>
    <col min="10" max="18" width="2.5" bestFit="1" customWidth="1"/>
    <col min="19" max="40" width="3.5" bestFit="1" customWidth="1"/>
  </cols>
  <sheetData>
    <row r="1" spans="1:40" ht="19.5" thickBot="1" x14ac:dyDescent="0.45"/>
    <row r="2" spans="1:40" ht="19.5" thickBot="1" x14ac:dyDescent="0.45">
      <c r="B2" t="s">
        <v>47</v>
      </c>
      <c r="C2" s="1" t="s">
        <v>0</v>
      </c>
      <c r="D2" s="46">
        <v>2024</v>
      </c>
      <c r="E2" t="s">
        <v>48</v>
      </c>
    </row>
    <row r="3" spans="1:40" x14ac:dyDescent="0.4">
      <c r="B3" s="1" t="s">
        <v>38</v>
      </c>
      <c r="C3" s="1" t="s">
        <v>39</v>
      </c>
      <c r="D3">
        <f>$D$2+1</f>
        <v>2025</v>
      </c>
      <c r="E3" t="s">
        <v>40</v>
      </c>
      <c r="I3" s="4" t="s">
        <v>26</v>
      </c>
      <c r="J3" s="4">
        <v>1</v>
      </c>
      <c r="K3" s="4">
        <v>2</v>
      </c>
      <c r="L3" s="4">
        <v>3</v>
      </c>
      <c r="M3" s="4">
        <v>4</v>
      </c>
      <c r="N3" s="4">
        <v>5</v>
      </c>
      <c r="O3" s="4">
        <v>6</v>
      </c>
      <c r="P3" s="4">
        <v>7</v>
      </c>
      <c r="Q3" s="4">
        <v>8</v>
      </c>
      <c r="R3" s="4">
        <v>9</v>
      </c>
      <c r="S3" s="4">
        <v>10</v>
      </c>
      <c r="T3" s="4">
        <v>11</v>
      </c>
      <c r="U3" s="4">
        <v>12</v>
      </c>
      <c r="V3" s="4">
        <v>13</v>
      </c>
      <c r="W3" s="4">
        <v>14</v>
      </c>
      <c r="X3" s="4">
        <v>15</v>
      </c>
      <c r="Y3" s="4">
        <v>16</v>
      </c>
      <c r="Z3" s="4">
        <v>17</v>
      </c>
      <c r="AA3" s="4">
        <v>18</v>
      </c>
      <c r="AB3" s="4">
        <v>19</v>
      </c>
      <c r="AC3" s="4">
        <v>20</v>
      </c>
      <c r="AD3" s="4">
        <v>21</v>
      </c>
      <c r="AE3" s="4">
        <v>22</v>
      </c>
      <c r="AF3" s="4">
        <v>23</v>
      </c>
      <c r="AG3" s="4">
        <v>24</v>
      </c>
      <c r="AH3" s="4">
        <v>25</v>
      </c>
      <c r="AI3" s="4">
        <v>26</v>
      </c>
      <c r="AJ3" s="4">
        <v>27</v>
      </c>
      <c r="AK3" s="4">
        <v>28</v>
      </c>
      <c r="AL3" s="4">
        <v>29</v>
      </c>
      <c r="AM3" s="4">
        <v>30</v>
      </c>
      <c r="AN3" s="4"/>
    </row>
    <row r="4" spans="1:40" x14ac:dyDescent="0.4">
      <c r="C4" t="s">
        <v>24</v>
      </c>
      <c r="D4" s="2" t="b">
        <f>IF(MOD($D$3,4)=0,TRUE,FALSE)</f>
        <v>0</v>
      </c>
      <c r="I4" s="4" t="s">
        <v>27</v>
      </c>
      <c r="J4" s="4">
        <v>1</v>
      </c>
      <c r="K4" s="4">
        <v>2</v>
      </c>
      <c r="L4" s="4">
        <v>3</v>
      </c>
      <c r="M4" s="4">
        <v>4</v>
      </c>
      <c r="N4" s="4">
        <v>5</v>
      </c>
      <c r="O4" s="4">
        <v>6</v>
      </c>
      <c r="P4" s="4">
        <v>7</v>
      </c>
      <c r="Q4" s="4">
        <v>8</v>
      </c>
      <c r="R4" s="4">
        <v>9</v>
      </c>
      <c r="S4" s="4">
        <v>10</v>
      </c>
      <c r="T4" s="4">
        <v>11</v>
      </c>
      <c r="U4" s="4">
        <v>12</v>
      </c>
      <c r="V4" s="4">
        <v>13</v>
      </c>
      <c r="W4" s="4">
        <v>14</v>
      </c>
      <c r="X4" s="4">
        <v>15</v>
      </c>
      <c r="Y4" s="4">
        <v>16</v>
      </c>
      <c r="Z4" s="4">
        <v>17</v>
      </c>
      <c r="AA4" s="4">
        <v>18</v>
      </c>
      <c r="AB4" s="4">
        <v>19</v>
      </c>
      <c r="AC4" s="4">
        <v>20</v>
      </c>
      <c r="AD4" s="4">
        <v>21</v>
      </c>
      <c r="AE4" s="4">
        <v>22</v>
      </c>
      <c r="AF4" s="4">
        <v>23</v>
      </c>
      <c r="AG4" s="4">
        <v>24</v>
      </c>
      <c r="AH4" s="4">
        <v>25</v>
      </c>
      <c r="AI4" s="4">
        <v>26</v>
      </c>
      <c r="AJ4" s="4">
        <v>27</v>
      </c>
      <c r="AK4" s="4">
        <v>28</v>
      </c>
      <c r="AL4" s="4">
        <v>29</v>
      </c>
      <c r="AM4" s="4">
        <v>30</v>
      </c>
      <c r="AN4" s="4">
        <v>31</v>
      </c>
    </row>
    <row r="5" spans="1:40" x14ac:dyDescent="0.4">
      <c r="I5" s="4" t="s">
        <v>28</v>
      </c>
      <c r="J5" s="4">
        <v>1</v>
      </c>
      <c r="K5" s="4">
        <v>2</v>
      </c>
      <c r="L5" s="4">
        <v>3</v>
      </c>
      <c r="M5" s="4">
        <v>4</v>
      </c>
      <c r="N5" s="4">
        <v>5</v>
      </c>
      <c r="O5" s="4">
        <v>6</v>
      </c>
      <c r="P5" s="4">
        <v>7</v>
      </c>
      <c r="Q5" s="4">
        <v>8</v>
      </c>
      <c r="R5" s="4">
        <v>9</v>
      </c>
      <c r="S5" s="4">
        <v>10</v>
      </c>
      <c r="T5" s="4">
        <v>11</v>
      </c>
      <c r="U5" s="4">
        <v>12</v>
      </c>
      <c r="V5" s="4">
        <v>13</v>
      </c>
      <c r="W5" s="4">
        <v>14</v>
      </c>
      <c r="X5" s="4">
        <v>15</v>
      </c>
      <c r="Y5" s="4">
        <v>16</v>
      </c>
      <c r="Z5" s="4">
        <v>17</v>
      </c>
      <c r="AA5" s="4">
        <v>18</v>
      </c>
      <c r="AB5" s="4">
        <v>19</v>
      </c>
      <c r="AC5" s="4">
        <v>20</v>
      </c>
      <c r="AD5" s="4">
        <v>21</v>
      </c>
      <c r="AE5" s="4">
        <v>22</v>
      </c>
      <c r="AF5" s="4">
        <v>23</v>
      </c>
      <c r="AG5" s="4">
        <v>24</v>
      </c>
      <c r="AH5" s="4">
        <v>25</v>
      </c>
      <c r="AI5" s="4">
        <v>26</v>
      </c>
      <c r="AJ5" s="4">
        <v>27</v>
      </c>
      <c r="AK5" s="4">
        <v>28</v>
      </c>
      <c r="AL5" s="4">
        <v>29</v>
      </c>
      <c r="AM5" s="4">
        <v>30</v>
      </c>
      <c r="AN5" s="4"/>
    </row>
    <row r="6" spans="1:40" ht="19.5" thickBot="1" x14ac:dyDescent="0.45">
      <c r="I6" s="4" t="s">
        <v>29</v>
      </c>
      <c r="J6" s="4">
        <v>1</v>
      </c>
      <c r="K6" s="4">
        <v>2</v>
      </c>
      <c r="L6" s="4">
        <v>3</v>
      </c>
      <c r="M6" s="4">
        <v>4</v>
      </c>
      <c r="N6" s="4">
        <v>5</v>
      </c>
      <c r="O6" s="4">
        <v>6</v>
      </c>
      <c r="P6" s="4">
        <v>7</v>
      </c>
      <c r="Q6" s="4">
        <v>8</v>
      </c>
      <c r="R6" s="4">
        <v>9</v>
      </c>
      <c r="S6" s="4">
        <v>10</v>
      </c>
      <c r="T6" s="4">
        <v>11</v>
      </c>
      <c r="U6" s="4">
        <v>12</v>
      </c>
      <c r="V6" s="4">
        <v>13</v>
      </c>
      <c r="W6" s="4">
        <v>14</v>
      </c>
      <c r="X6" s="4">
        <v>15</v>
      </c>
      <c r="Y6" s="4">
        <v>16</v>
      </c>
      <c r="Z6" s="4">
        <v>17</v>
      </c>
      <c r="AA6" s="4">
        <v>18</v>
      </c>
      <c r="AB6" s="4">
        <v>19</v>
      </c>
      <c r="AC6" s="4">
        <v>20</v>
      </c>
      <c r="AD6" s="4">
        <v>21</v>
      </c>
      <c r="AE6" s="4">
        <v>22</v>
      </c>
      <c r="AF6" s="4">
        <v>23</v>
      </c>
      <c r="AG6" s="4">
        <v>24</v>
      </c>
      <c r="AH6" s="4">
        <v>25</v>
      </c>
      <c r="AI6" s="4">
        <v>26</v>
      </c>
      <c r="AJ6" s="4">
        <v>27</v>
      </c>
      <c r="AK6" s="4">
        <v>28</v>
      </c>
      <c r="AL6" s="4">
        <v>29</v>
      </c>
      <c r="AM6" s="4">
        <v>30</v>
      </c>
      <c r="AN6" s="4">
        <v>31</v>
      </c>
    </row>
    <row r="7" spans="1:40" ht="19.5" thickBot="1" x14ac:dyDescent="0.45">
      <c r="A7" t="s">
        <v>44</v>
      </c>
      <c r="B7" t="s">
        <v>43</v>
      </c>
      <c r="C7" t="s">
        <v>45</v>
      </c>
      <c r="D7" s="47" t="s">
        <v>50</v>
      </c>
      <c r="I7" s="4" t="s">
        <v>30</v>
      </c>
      <c r="J7" s="4">
        <v>1</v>
      </c>
      <c r="K7" s="4">
        <v>2</v>
      </c>
      <c r="L7" s="4">
        <v>3</v>
      </c>
      <c r="M7" s="4">
        <v>4</v>
      </c>
      <c r="N7" s="4">
        <v>5</v>
      </c>
      <c r="O7" s="4">
        <v>6</v>
      </c>
      <c r="P7" s="4">
        <v>7</v>
      </c>
      <c r="Q7" s="4">
        <v>8</v>
      </c>
      <c r="R7" s="4">
        <v>9</v>
      </c>
      <c r="S7" s="4">
        <v>10</v>
      </c>
      <c r="T7" s="4">
        <v>11</v>
      </c>
      <c r="U7" s="4">
        <v>12</v>
      </c>
      <c r="V7" s="4">
        <v>13</v>
      </c>
      <c r="W7" s="4">
        <v>14</v>
      </c>
      <c r="X7" s="4">
        <v>15</v>
      </c>
      <c r="Y7" s="4">
        <v>16</v>
      </c>
      <c r="Z7" s="4">
        <v>17</v>
      </c>
      <c r="AA7" s="4">
        <v>18</v>
      </c>
      <c r="AB7" s="4">
        <v>19</v>
      </c>
      <c r="AC7" s="4">
        <v>20</v>
      </c>
      <c r="AD7" s="4">
        <v>21</v>
      </c>
      <c r="AE7" s="4">
        <v>22</v>
      </c>
      <c r="AF7" s="4">
        <v>23</v>
      </c>
      <c r="AG7" s="4">
        <v>24</v>
      </c>
      <c r="AH7" s="4">
        <v>25</v>
      </c>
      <c r="AI7" s="4">
        <v>26</v>
      </c>
      <c r="AJ7" s="4">
        <v>27</v>
      </c>
      <c r="AK7" s="4">
        <v>28</v>
      </c>
      <c r="AL7" s="4">
        <v>29</v>
      </c>
      <c r="AM7" s="4">
        <v>30</v>
      </c>
      <c r="AN7" s="4">
        <v>31</v>
      </c>
    </row>
    <row r="8" spans="1:40" x14ac:dyDescent="0.4">
      <c r="D8" t="s">
        <v>46</v>
      </c>
      <c r="I8" s="4" t="s">
        <v>31</v>
      </c>
      <c r="J8" s="4">
        <v>1</v>
      </c>
      <c r="K8" s="4">
        <v>2</v>
      </c>
      <c r="L8" s="4">
        <v>3</v>
      </c>
      <c r="M8" s="4">
        <v>4</v>
      </c>
      <c r="N8" s="4">
        <v>5</v>
      </c>
      <c r="O8" s="4">
        <v>6</v>
      </c>
      <c r="P8" s="4">
        <v>7</v>
      </c>
      <c r="Q8" s="4">
        <v>8</v>
      </c>
      <c r="R8" s="4">
        <v>9</v>
      </c>
      <c r="S8" s="4">
        <v>10</v>
      </c>
      <c r="T8" s="4">
        <v>11</v>
      </c>
      <c r="U8" s="4">
        <v>12</v>
      </c>
      <c r="V8" s="4">
        <v>13</v>
      </c>
      <c r="W8" s="4">
        <v>14</v>
      </c>
      <c r="X8" s="4">
        <v>15</v>
      </c>
      <c r="Y8" s="4">
        <v>16</v>
      </c>
      <c r="Z8" s="4">
        <v>17</v>
      </c>
      <c r="AA8" s="4">
        <v>18</v>
      </c>
      <c r="AB8" s="4">
        <v>19</v>
      </c>
      <c r="AC8" s="4">
        <v>20</v>
      </c>
      <c r="AD8" s="4">
        <v>21</v>
      </c>
      <c r="AE8" s="4">
        <v>22</v>
      </c>
      <c r="AF8" s="4">
        <v>23</v>
      </c>
      <c r="AG8" s="4">
        <v>24</v>
      </c>
      <c r="AH8" s="4">
        <v>25</v>
      </c>
      <c r="AI8" s="4">
        <v>26</v>
      </c>
      <c r="AJ8" s="4">
        <v>27</v>
      </c>
      <c r="AK8" s="4">
        <v>28</v>
      </c>
      <c r="AL8" s="4">
        <v>29</v>
      </c>
      <c r="AM8" s="4">
        <v>30</v>
      </c>
      <c r="AN8" s="4"/>
    </row>
    <row r="9" spans="1:40" x14ac:dyDescent="0.4">
      <c r="D9" t="s">
        <v>49</v>
      </c>
      <c r="I9" s="4" t="s">
        <v>32</v>
      </c>
      <c r="J9" s="4">
        <v>1</v>
      </c>
      <c r="K9" s="4">
        <v>2</v>
      </c>
      <c r="L9" s="4">
        <v>3</v>
      </c>
      <c r="M9" s="4">
        <v>4</v>
      </c>
      <c r="N9" s="4">
        <v>5</v>
      </c>
      <c r="O9" s="4">
        <v>6</v>
      </c>
      <c r="P9" s="4">
        <v>7</v>
      </c>
      <c r="Q9" s="4">
        <v>8</v>
      </c>
      <c r="R9" s="4">
        <v>9</v>
      </c>
      <c r="S9" s="4">
        <v>10</v>
      </c>
      <c r="T9" s="4">
        <v>11</v>
      </c>
      <c r="U9" s="4">
        <v>12</v>
      </c>
      <c r="V9" s="4">
        <v>13</v>
      </c>
      <c r="W9" s="4">
        <v>14</v>
      </c>
      <c r="X9" s="4">
        <v>15</v>
      </c>
      <c r="Y9" s="4">
        <v>16</v>
      </c>
      <c r="Z9" s="4">
        <v>17</v>
      </c>
      <c r="AA9" s="4">
        <v>18</v>
      </c>
      <c r="AB9" s="4">
        <v>19</v>
      </c>
      <c r="AC9" s="4">
        <v>20</v>
      </c>
      <c r="AD9" s="4">
        <v>21</v>
      </c>
      <c r="AE9" s="4">
        <v>22</v>
      </c>
      <c r="AF9" s="4">
        <v>23</v>
      </c>
      <c r="AG9" s="4">
        <v>24</v>
      </c>
      <c r="AH9" s="4">
        <v>25</v>
      </c>
      <c r="AI9" s="4">
        <v>26</v>
      </c>
      <c r="AJ9" s="4">
        <v>27</v>
      </c>
      <c r="AK9" s="4">
        <v>28</v>
      </c>
      <c r="AL9" s="4">
        <v>29</v>
      </c>
      <c r="AM9" s="4">
        <v>30</v>
      </c>
      <c r="AN9" s="4">
        <v>31</v>
      </c>
    </row>
    <row r="10" spans="1:40" x14ac:dyDescent="0.4">
      <c r="I10" s="4" t="s">
        <v>33</v>
      </c>
      <c r="J10" s="4">
        <v>1</v>
      </c>
      <c r="K10" s="4">
        <v>2</v>
      </c>
      <c r="L10" s="4">
        <v>3</v>
      </c>
      <c r="M10" s="4">
        <v>4</v>
      </c>
      <c r="N10" s="4">
        <v>5</v>
      </c>
      <c r="O10" s="4">
        <v>6</v>
      </c>
      <c r="P10" s="4">
        <v>7</v>
      </c>
      <c r="Q10" s="4">
        <v>8</v>
      </c>
      <c r="R10" s="4">
        <v>9</v>
      </c>
      <c r="S10" s="4">
        <v>10</v>
      </c>
      <c r="T10" s="4">
        <v>11</v>
      </c>
      <c r="U10" s="4">
        <v>12</v>
      </c>
      <c r="V10" s="4">
        <v>13</v>
      </c>
      <c r="W10" s="4">
        <v>14</v>
      </c>
      <c r="X10" s="4">
        <v>15</v>
      </c>
      <c r="Y10" s="4">
        <v>16</v>
      </c>
      <c r="Z10" s="4">
        <v>17</v>
      </c>
      <c r="AA10" s="4">
        <v>18</v>
      </c>
      <c r="AB10" s="4">
        <v>19</v>
      </c>
      <c r="AC10" s="4">
        <v>20</v>
      </c>
      <c r="AD10" s="4">
        <v>21</v>
      </c>
      <c r="AE10" s="4">
        <v>22</v>
      </c>
      <c r="AF10" s="4">
        <v>23</v>
      </c>
      <c r="AG10" s="4">
        <v>24</v>
      </c>
      <c r="AH10" s="4">
        <v>25</v>
      </c>
      <c r="AI10" s="4">
        <v>26</v>
      </c>
      <c r="AJ10" s="4">
        <v>27</v>
      </c>
      <c r="AK10" s="4">
        <v>28</v>
      </c>
      <c r="AL10" s="4">
        <v>29</v>
      </c>
      <c r="AM10" s="4">
        <v>30</v>
      </c>
      <c r="AN10" s="4"/>
    </row>
    <row r="11" spans="1:40" x14ac:dyDescent="0.4">
      <c r="I11" s="4" t="s">
        <v>34</v>
      </c>
      <c r="J11" s="4">
        <v>1</v>
      </c>
      <c r="K11" s="4">
        <v>2</v>
      </c>
      <c r="L11" s="4">
        <v>3</v>
      </c>
      <c r="M11" s="4">
        <v>4</v>
      </c>
      <c r="N11" s="4">
        <v>5</v>
      </c>
      <c r="O11" s="4">
        <v>6</v>
      </c>
      <c r="P11" s="4">
        <v>7</v>
      </c>
      <c r="Q11" s="4">
        <v>8</v>
      </c>
      <c r="R11" s="4">
        <v>9</v>
      </c>
      <c r="S11" s="4">
        <v>10</v>
      </c>
      <c r="T11" s="4">
        <v>11</v>
      </c>
      <c r="U11" s="4">
        <v>12</v>
      </c>
      <c r="V11" s="4">
        <v>13</v>
      </c>
      <c r="W11" s="4">
        <v>14</v>
      </c>
      <c r="X11" s="4">
        <v>15</v>
      </c>
      <c r="Y11" s="4">
        <v>16</v>
      </c>
      <c r="Z11" s="4">
        <v>17</v>
      </c>
      <c r="AA11" s="4">
        <v>18</v>
      </c>
      <c r="AB11" s="4">
        <v>19</v>
      </c>
      <c r="AC11" s="4">
        <v>20</v>
      </c>
      <c r="AD11" s="4">
        <v>21</v>
      </c>
      <c r="AE11" s="4">
        <v>22</v>
      </c>
      <c r="AF11" s="4">
        <v>23</v>
      </c>
      <c r="AG11" s="4">
        <v>24</v>
      </c>
      <c r="AH11" s="4">
        <v>25</v>
      </c>
      <c r="AI11" s="4">
        <v>26</v>
      </c>
      <c r="AJ11" s="4">
        <v>27</v>
      </c>
      <c r="AK11" s="4">
        <v>28</v>
      </c>
      <c r="AL11" s="4">
        <v>29</v>
      </c>
      <c r="AM11" s="4">
        <v>30</v>
      </c>
      <c r="AN11" s="4">
        <v>31</v>
      </c>
    </row>
    <row r="12" spans="1:40" x14ac:dyDescent="0.4">
      <c r="I12" s="4" t="s">
        <v>25</v>
      </c>
      <c r="J12" s="4">
        <v>1</v>
      </c>
      <c r="K12" s="4">
        <v>2</v>
      </c>
      <c r="L12" s="4">
        <v>3</v>
      </c>
      <c r="M12" s="4">
        <v>4</v>
      </c>
      <c r="N12" s="4">
        <v>5</v>
      </c>
      <c r="O12" s="4">
        <v>6</v>
      </c>
      <c r="P12" s="4">
        <v>7</v>
      </c>
      <c r="Q12" s="4">
        <v>8</v>
      </c>
      <c r="R12" s="4">
        <v>9</v>
      </c>
      <c r="S12" s="4">
        <v>10</v>
      </c>
      <c r="T12" s="4">
        <v>11</v>
      </c>
      <c r="U12" s="4">
        <v>12</v>
      </c>
      <c r="V12" s="4">
        <v>13</v>
      </c>
      <c r="W12" s="4">
        <v>14</v>
      </c>
      <c r="X12" s="4">
        <v>15</v>
      </c>
      <c r="Y12" s="4">
        <v>16</v>
      </c>
      <c r="Z12" s="4">
        <v>17</v>
      </c>
      <c r="AA12" s="4">
        <v>18</v>
      </c>
      <c r="AB12" s="4">
        <v>19</v>
      </c>
      <c r="AC12" s="4">
        <v>20</v>
      </c>
      <c r="AD12" s="4">
        <v>21</v>
      </c>
      <c r="AE12" s="4">
        <v>22</v>
      </c>
      <c r="AF12" s="4">
        <v>23</v>
      </c>
      <c r="AG12" s="4">
        <v>24</v>
      </c>
      <c r="AH12" s="4">
        <v>25</v>
      </c>
      <c r="AI12" s="4">
        <v>26</v>
      </c>
      <c r="AJ12" s="4">
        <v>27</v>
      </c>
      <c r="AK12" s="4">
        <v>28</v>
      </c>
      <c r="AL12" s="4">
        <v>29</v>
      </c>
      <c r="AM12" s="4">
        <v>30</v>
      </c>
      <c r="AN12" s="4">
        <v>31</v>
      </c>
    </row>
    <row r="13" spans="1:40" x14ac:dyDescent="0.4">
      <c r="I13" s="4" t="s">
        <v>35</v>
      </c>
      <c r="J13" s="4">
        <v>1</v>
      </c>
      <c r="K13" s="4">
        <v>2</v>
      </c>
      <c r="L13" s="4">
        <v>3</v>
      </c>
      <c r="M13" s="4">
        <v>4</v>
      </c>
      <c r="N13" s="4">
        <v>5</v>
      </c>
      <c r="O13" s="4">
        <v>6</v>
      </c>
      <c r="P13" s="4">
        <v>7</v>
      </c>
      <c r="Q13" s="4">
        <v>8</v>
      </c>
      <c r="R13" s="4">
        <v>9</v>
      </c>
      <c r="S13" s="4">
        <v>10</v>
      </c>
      <c r="T13" s="4">
        <v>11</v>
      </c>
      <c r="U13" s="4">
        <v>12</v>
      </c>
      <c r="V13" s="4">
        <v>13</v>
      </c>
      <c r="W13" s="4">
        <v>14</v>
      </c>
      <c r="X13" s="4">
        <v>15</v>
      </c>
      <c r="Y13" s="4">
        <v>16</v>
      </c>
      <c r="Z13" s="4">
        <v>17</v>
      </c>
      <c r="AA13" s="4">
        <v>18</v>
      </c>
      <c r="AB13" s="4">
        <v>19</v>
      </c>
      <c r="AC13" s="4">
        <v>20</v>
      </c>
      <c r="AD13" s="4">
        <v>21</v>
      </c>
      <c r="AE13" s="4">
        <v>22</v>
      </c>
      <c r="AF13" s="4">
        <v>23</v>
      </c>
      <c r="AG13" s="4">
        <v>24</v>
      </c>
      <c r="AH13" s="4">
        <v>25</v>
      </c>
      <c r="AI13" s="4">
        <v>26</v>
      </c>
      <c r="AJ13" s="4">
        <v>27</v>
      </c>
      <c r="AK13" s="4">
        <v>28</v>
      </c>
      <c r="AL13" s="6" t="str">
        <f>IF(D4=TRUE,29,"")</f>
        <v/>
      </c>
      <c r="AM13" s="4"/>
      <c r="AN13" s="4"/>
    </row>
    <row r="14" spans="1:40" x14ac:dyDescent="0.4">
      <c r="I14" s="4" t="s">
        <v>36</v>
      </c>
      <c r="J14" s="4">
        <v>1</v>
      </c>
      <c r="K14" s="4">
        <v>2</v>
      </c>
      <c r="L14" s="4">
        <v>3</v>
      </c>
      <c r="M14" s="4">
        <v>4</v>
      </c>
      <c r="N14" s="4">
        <v>5</v>
      </c>
      <c r="O14" s="4">
        <v>6</v>
      </c>
      <c r="P14" s="4">
        <v>7</v>
      </c>
      <c r="Q14" s="4">
        <v>8</v>
      </c>
      <c r="R14" s="4">
        <v>9</v>
      </c>
      <c r="S14" s="4">
        <v>10</v>
      </c>
      <c r="T14" s="4">
        <v>11</v>
      </c>
      <c r="U14" s="4">
        <v>12</v>
      </c>
      <c r="V14" s="4">
        <v>13</v>
      </c>
      <c r="W14" s="4">
        <v>14</v>
      </c>
      <c r="X14" s="4">
        <v>15</v>
      </c>
      <c r="Y14" s="4">
        <v>16</v>
      </c>
      <c r="Z14" s="4">
        <v>17</v>
      </c>
      <c r="AA14" s="4">
        <v>18</v>
      </c>
      <c r="AB14" s="4">
        <v>19</v>
      </c>
      <c r="AC14" s="4">
        <v>20</v>
      </c>
      <c r="AD14" s="4">
        <v>21</v>
      </c>
      <c r="AE14" s="4">
        <v>22</v>
      </c>
      <c r="AF14" s="4">
        <v>23</v>
      </c>
      <c r="AG14" s="4">
        <v>24</v>
      </c>
      <c r="AH14" s="4">
        <v>25</v>
      </c>
      <c r="AI14" s="4">
        <v>26</v>
      </c>
      <c r="AJ14" s="4">
        <v>27</v>
      </c>
      <c r="AK14" s="4">
        <v>28</v>
      </c>
      <c r="AL14" s="4">
        <v>29</v>
      </c>
      <c r="AM14" s="4">
        <v>30</v>
      </c>
      <c r="AN14" s="4">
        <v>31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Form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2025-01-08T05:58:41Z</dcterms:created>
  <dcterms:modified xsi:type="dcterms:W3CDTF">2025-01-13T10:00:14Z</dcterms:modified>
</cp:coreProperties>
</file>