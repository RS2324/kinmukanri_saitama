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マイドライブ\IT部\勤務管理\"/>
    </mc:Choice>
  </mc:AlternateContent>
  <xr:revisionPtr revIDLastSave="0" documentId="13_ncr:1_{8A5124E9-CE97-42AC-A7DF-8203ACDBD13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orm" sheetId="3" r:id="rId1"/>
    <sheet name="4" sheetId="7" r:id="rId2"/>
    <sheet name="5" sheetId="8" r:id="rId3"/>
    <sheet name="6" sheetId="9" r:id="rId4"/>
    <sheet name="7" sheetId="10" r:id="rId5"/>
    <sheet name="8" sheetId="11" r:id="rId6"/>
    <sheet name="9" sheetId="12" r:id="rId7"/>
    <sheet name="10" sheetId="13" r:id="rId8"/>
    <sheet name="11" sheetId="14" r:id="rId9"/>
    <sheet name="12" sheetId="15" r:id="rId10"/>
    <sheet name="1" sheetId="16" r:id="rId11"/>
    <sheet name="2" sheetId="17" r:id="rId12"/>
    <sheet name="3" sheetId="18" r:id="rId13"/>
    <sheet name="ID" sheetId="5" state="veryHidden" r:id="rId14"/>
    <sheet name="config" sheetId="4" state="very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D4" i="4" s="1"/>
  <c r="AL13" i="4" s="1"/>
  <c r="AF1" i="17" s="1"/>
  <c r="C208" i="18"/>
  <c r="B208" i="18"/>
  <c r="C207" i="18"/>
  <c r="B207" i="18"/>
  <c r="C206" i="18"/>
  <c r="B206" i="18"/>
  <c r="C205" i="18"/>
  <c r="B205" i="18"/>
  <c r="C204" i="18"/>
  <c r="B204" i="18"/>
  <c r="C203" i="18"/>
  <c r="B203" i="18"/>
  <c r="C202" i="18"/>
  <c r="B202" i="18"/>
  <c r="C201" i="18"/>
  <c r="B201" i="18"/>
  <c r="C200" i="18"/>
  <c r="B200" i="18"/>
  <c r="C199" i="18"/>
  <c r="B199" i="18"/>
  <c r="C198" i="18"/>
  <c r="B198" i="18"/>
  <c r="C197" i="18"/>
  <c r="B197" i="18"/>
  <c r="C196" i="18"/>
  <c r="B196" i="18"/>
  <c r="C195" i="18"/>
  <c r="B195" i="18"/>
  <c r="C194" i="18"/>
  <c r="B194" i="18"/>
  <c r="C193" i="18"/>
  <c r="B193" i="18"/>
  <c r="C192" i="18"/>
  <c r="B192" i="18"/>
  <c r="C191" i="18"/>
  <c r="B191" i="18"/>
  <c r="C190" i="18"/>
  <c r="B190" i="18"/>
  <c r="C189" i="18"/>
  <c r="B189" i="18"/>
  <c r="C188" i="18"/>
  <c r="B188" i="18"/>
  <c r="C187" i="18"/>
  <c r="B187" i="18"/>
  <c r="C186" i="18"/>
  <c r="B186" i="18"/>
  <c r="C185" i="18"/>
  <c r="B185" i="18"/>
  <c r="C184" i="18"/>
  <c r="B184" i="18"/>
  <c r="C183" i="18"/>
  <c r="B183" i="18"/>
  <c r="C182" i="18"/>
  <c r="B182" i="18"/>
  <c r="C181" i="18"/>
  <c r="B181" i="18"/>
  <c r="C180" i="18"/>
  <c r="B180" i="18"/>
  <c r="C179" i="18"/>
  <c r="B179" i="18"/>
  <c r="C178" i="18"/>
  <c r="B178" i="18"/>
  <c r="C177" i="18"/>
  <c r="B177" i="18"/>
  <c r="C176" i="18"/>
  <c r="B176" i="18"/>
  <c r="C175" i="18"/>
  <c r="B175" i="18"/>
  <c r="C174" i="18"/>
  <c r="B174" i="18"/>
  <c r="C173" i="18"/>
  <c r="B173" i="18"/>
  <c r="C172" i="18"/>
  <c r="B172" i="18"/>
  <c r="C171" i="18"/>
  <c r="B171" i="18"/>
  <c r="C170" i="18"/>
  <c r="B170" i="18"/>
  <c r="C169" i="18"/>
  <c r="B169" i="18"/>
  <c r="C168" i="18"/>
  <c r="B168" i="18"/>
  <c r="C167" i="18"/>
  <c r="B167" i="18"/>
  <c r="C166" i="18"/>
  <c r="B166" i="18"/>
  <c r="C165" i="18"/>
  <c r="B165" i="18"/>
  <c r="C164" i="18"/>
  <c r="B164" i="18"/>
  <c r="C163" i="18"/>
  <c r="B163" i="18"/>
  <c r="C162" i="18"/>
  <c r="B162" i="18"/>
  <c r="C161" i="18"/>
  <c r="B161" i="18"/>
  <c r="C160" i="18"/>
  <c r="B160" i="18"/>
  <c r="C159" i="18"/>
  <c r="B159" i="18"/>
  <c r="C158" i="18"/>
  <c r="B158" i="18"/>
  <c r="C157" i="18"/>
  <c r="B157" i="18"/>
  <c r="C156" i="18"/>
  <c r="B156" i="18"/>
  <c r="C155" i="18"/>
  <c r="B155" i="18"/>
  <c r="C154" i="18"/>
  <c r="B154" i="18"/>
  <c r="C153" i="18"/>
  <c r="B153" i="18"/>
  <c r="C152" i="18"/>
  <c r="B152" i="18"/>
  <c r="C151" i="18"/>
  <c r="B151" i="18"/>
  <c r="C150" i="18"/>
  <c r="B150" i="18"/>
  <c r="C149" i="18"/>
  <c r="B149" i="18"/>
  <c r="C148" i="18"/>
  <c r="B148" i="18"/>
  <c r="C147" i="18"/>
  <c r="B147" i="18"/>
  <c r="C146" i="18"/>
  <c r="B146" i="18"/>
  <c r="C145" i="18"/>
  <c r="B145" i="18"/>
  <c r="C144" i="18"/>
  <c r="B144" i="18"/>
  <c r="C143" i="18"/>
  <c r="B143" i="18"/>
  <c r="C142" i="18"/>
  <c r="B142" i="18"/>
  <c r="C141" i="18"/>
  <c r="B141" i="18"/>
  <c r="C140" i="18"/>
  <c r="B140" i="18"/>
  <c r="C139" i="18"/>
  <c r="B139" i="18"/>
  <c r="C138" i="18"/>
  <c r="B138" i="18"/>
  <c r="C137" i="18"/>
  <c r="B137" i="18"/>
  <c r="C136" i="18"/>
  <c r="B136" i="18"/>
  <c r="C135" i="18"/>
  <c r="B135" i="18"/>
  <c r="C134" i="18"/>
  <c r="B134" i="18"/>
  <c r="C133" i="18"/>
  <c r="B133" i="18"/>
  <c r="C132" i="18"/>
  <c r="B132" i="18"/>
  <c r="C131" i="18"/>
  <c r="B131" i="18"/>
  <c r="C130" i="18"/>
  <c r="B130" i="18"/>
  <c r="C129" i="18"/>
  <c r="B129" i="18"/>
  <c r="C128" i="18"/>
  <c r="B128" i="18"/>
  <c r="C127" i="18"/>
  <c r="B127" i="18"/>
  <c r="C126" i="18"/>
  <c r="B126" i="18"/>
  <c r="C125" i="18"/>
  <c r="B125" i="18"/>
  <c r="C124" i="18"/>
  <c r="B124" i="18"/>
  <c r="C123" i="18"/>
  <c r="B123" i="18"/>
  <c r="C122" i="18"/>
  <c r="B122" i="18"/>
  <c r="C121" i="18"/>
  <c r="B121" i="18"/>
  <c r="C120" i="18"/>
  <c r="B120" i="18"/>
  <c r="C119" i="18"/>
  <c r="B119" i="18"/>
  <c r="C118" i="18"/>
  <c r="B118" i="18"/>
  <c r="C117" i="18"/>
  <c r="B117" i="18"/>
  <c r="C116" i="18"/>
  <c r="B116" i="18"/>
  <c r="C115" i="18"/>
  <c r="B115" i="18"/>
  <c r="C114" i="18"/>
  <c r="B114" i="18"/>
  <c r="C113" i="18"/>
  <c r="B113" i="18"/>
  <c r="C112" i="18"/>
  <c r="B112" i="18"/>
  <c r="C111" i="18"/>
  <c r="B111" i="18"/>
  <c r="C110" i="18"/>
  <c r="B110" i="18"/>
  <c r="C109" i="18"/>
  <c r="B109" i="18"/>
  <c r="C108" i="18"/>
  <c r="B108" i="18"/>
  <c r="C107" i="18"/>
  <c r="B107" i="18"/>
  <c r="C106" i="18"/>
  <c r="B106" i="18"/>
  <c r="C105" i="18"/>
  <c r="B105" i="18"/>
  <c r="C104" i="18"/>
  <c r="B104" i="18"/>
  <c r="C103" i="18"/>
  <c r="B103" i="18"/>
  <c r="C102" i="18"/>
  <c r="B102" i="18"/>
  <c r="C101" i="18"/>
  <c r="B101" i="18"/>
  <c r="C100" i="18"/>
  <c r="B100" i="18"/>
  <c r="C99" i="18"/>
  <c r="B99" i="18"/>
  <c r="C98" i="18"/>
  <c r="B98" i="18"/>
  <c r="C97" i="18"/>
  <c r="B97" i="18"/>
  <c r="C96" i="18"/>
  <c r="B96" i="18"/>
  <c r="C95" i="18"/>
  <c r="B95" i="18"/>
  <c r="C94" i="18"/>
  <c r="B94" i="18"/>
  <c r="C93" i="18"/>
  <c r="B93" i="18"/>
  <c r="C92" i="18"/>
  <c r="B92" i="18"/>
  <c r="C91" i="18"/>
  <c r="B91" i="18"/>
  <c r="C90" i="18"/>
  <c r="B90" i="18"/>
  <c r="C89" i="18"/>
  <c r="B89" i="18"/>
  <c r="C88" i="18"/>
  <c r="B88" i="18"/>
  <c r="C87" i="18"/>
  <c r="B87" i="18"/>
  <c r="C86" i="18"/>
  <c r="B86" i="18"/>
  <c r="C85" i="18"/>
  <c r="B85" i="18"/>
  <c r="C84" i="18"/>
  <c r="B84" i="18"/>
  <c r="C83" i="18"/>
  <c r="B83" i="18"/>
  <c r="C82" i="18"/>
  <c r="B82" i="18"/>
  <c r="C81" i="18"/>
  <c r="B81" i="18"/>
  <c r="C80" i="18"/>
  <c r="B80" i="18"/>
  <c r="C79" i="18"/>
  <c r="B79" i="18"/>
  <c r="C78" i="18"/>
  <c r="B78" i="18"/>
  <c r="C77" i="18"/>
  <c r="B77" i="18"/>
  <c r="C76" i="18"/>
  <c r="B76" i="18"/>
  <c r="C75" i="18"/>
  <c r="B75" i="18"/>
  <c r="C74" i="18"/>
  <c r="B74" i="18"/>
  <c r="C73" i="18"/>
  <c r="B73" i="18"/>
  <c r="C72" i="18"/>
  <c r="B72" i="18"/>
  <c r="C71" i="18"/>
  <c r="B71" i="18"/>
  <c r="C70" i="18"/>
  <c r="B70" i="18"/>
  <c r="C69" i="18"/>
  <c r="B69" i="18"/>
  <c r="C68" i="18"/>
  <c r="B68" i="18"/>
  <c r="C67" i="18"/>
  <c r="B67" i="18"/>
  <c r="C66" i="18"/>
  <c r="B66" i="18"/>
  <c r="C65" i="18"/>
  <c r="B65" i="18"/>
  <c r="C64" i="18"/>
  <c r="B64" i="18"/>
  <c r="C63" i="18"/>
  <c r="B63" i="18"/>
  <c r="C62" i="18"/>
  <c r="B62" i="18"/>
  <c r="C61" i="18"/>
  <c r="B61" i="18"/>
  <c r="C60" i="18"/>
  <c r="B60" i="18"/>
  <c r="C59" i="18"/>
  <c r="B59" i="18"/>
  <c r="C58" i="18"/>
  <c r="B58" i="18"/>
  <c r="C57" i="18"/>
  <c r="B57" i="18"/>
  <c r="C56" i="18"/>
  <c r="B56" i="18"/>
  <c r="C55" i="18"/>
  <c r="B55" i="18"/>
  <c r="C54" i="18"/>
  <c r="B54" i="18"/>
  <c r="C53" i="18"/>
  <c r="B53" i="18"/>
  <c r="C52" i="18"/>
  <c r="B52" i="18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B45" i="18"/>
  <c r="C44" i="18"/>
  <c r="B44" i="18"/>
  <c r="C43" i="18"/>
  <c r="B43" i="18"/>
  <c r="C42" i="18"/>
  <c r="B42" i="18"/>
  <c r="C41" i="18"/>
  <c r="B41" i="18"/>
  <c r="C40" i="18"/>
  <c r="B40" i="18"/>
  <c r="C39" i="18"/>
  <c r="B39" i="18"/>
  <c r="C38" i="18"/>
  <c r="B38" i="18"/>
  <c r="C37" i="18"/>
  <c r="B37" i="18"/>
  <c r="C36" i="18"/>
  <c r="B36" i="18"/>
  <c r="C35" i="18"/>
  <c r="B35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A2" i="18"/>
  <c r="AF1" i="18" s="1"/>
  <c r="AF2" i="18" s="1"/>
  <c r="AH1" i="17"/>
  <c r="AG1" i="17"/>
  <c r="C208" i="17"/>
  <c r="B208" i="17"/>
  <c r="C207" i="17"/>
  <c r="B207" i="17"/>
  <c r="C206" i="17"/>
  <c r="B206" i="17"/>
  <c r="C205" i="17"/>
  <c r="B205" i="17"/>
  <c r="C204" i="17"/>
  <c r="B204" i="17"/>
  <c r="C203" i="17"/>
  <c r="B203" i="17"/>
  <c r="C202" i="17"/>
  <c r="B202" i="17"/>
  <c r="C201" i="17"/>
  <c r="B201" i="17"/>
  <c r="C200" i="17"/>
  <c r="B200" i="17"/>
  <c r="C199" i="17"/>
  <c r="B199" i="17"/>
  <c r="C198" i="17"/>
  <c r="B198" i="17"/>
  <c r="C197" i="17"/>
  <c r="B197" i="17"/>
  <c r="C196" i="17"/>
  <c r="B196" i="17"/>
  <c r="C195" i="17"/>
  <c r="B195" i="17"/>
  <c r="C194" i="17"/>
  <c r="B194" i="17"/>
  <c r="C193" i="17"/>
  <c r="B193" i="17"/>
  <c r="C192" i="17"/>
  <c r="B192" i="17"/>
  <c r="C191" i="17"/>
  <c r="B191" i="17"/>
  <c r="C190" i="17"/>
  <c r="B190" i="17"/>
  <c r="C189" i="17"/>
  <c r="B189" i="17"/>
  <c r="C188" i="17"/>
  <c r="B188" i="17"/>
  <c r="C187" i="17"/>
  <c r="B187" i="17"/>
  <c r="C186" i="17"/>
  <c r="B186" i="17"/>
  <c r="C185" i="17"/>
  <c r="B185" i="17"/>
  <c r="C184" i="17"/>
  <c r="B184" i="17"/>
  <c r="C183" i="17"/>
  <c r="B183" i="17"/>
  <c r="C182" i="17"/>
  <c r="B182" i="17"/>
  <c r="C181" i="17"/>
  <c r="B181" i="17"/>
  <c r="C180" i="17"/>
  <c r="B180" i="17"/>
  <c r="C179" i="17"/>
  <c r="B179" i="17"/>
  <c r="C178" i="17"/>
  <c r="B178" i="17"/>
  <c r="C177" i="17"/>
  <c r="B177" i="17"/>
  <c r="C176" i="17"/>
  <c r="B176" i="17"/>
  <c r="C175" i="17"/>
  <c r="B175" i="17"/>
  <c r="C174" i="17"/>
  <c r="B174" i="17"/>
  <c r="C173" i="17"/>
  <c r="B173" i="17"/>
  <c r="C172" i="17"/>
  <c r="B172" i="17"/>
  <c r="C171" i="17"/>
  <c r="B171" i="17"/>
  <c r="C170" i="17"/>
  <c r="B170" i="17"/>
  <c r="C169" i="17"/>
  <c r="B169" i="17"/>
  <c r="C168" i="17"/>
  <c r="B168" i="17"/>
  <c r="C167" i="17"/>
  <c r="B167" i="17"/>
  <c r="C166" i="17"/>
  <c r="B166" i="17"/>
  <c r="C165" i="17"/>
  <c r="B165" i="17"/>
  <c r="C164" i="17"/>
  <c r="B164" i="17"/>
  <c r="C163" i="17"/>
  <c r="B163" i="17"/>
  <c r="C162" i="17"/>
  <c r="B162" i="17"/>
  <c r="C161" i="17"/>
  <c r="B161" i="17"/>
  <c r="C160" i="17"/>
  <c r="B160" i="17"/>
  <c r="C159" i="17"/>
  <c r="B159" i="17"/>
  <c r="C158" i="17"/>
  <c r="B158" i="17"/>
  <c r="C157" i="17"/>
  <c r="B157" i="17"/>
  <c r="C156" i="17"/>
  <c r="B156" i="17"/>
  <c r="C155" i="17"/>
  <c r="B155" i="17"/>
  <c r="C154" i="17"/>
  <c r="B154" i="17"/>
  <c r="C153" i="17"/>
  <c r="B153" i="17"/>
  <c r="C152" i="17"/>
  <c r="B152" i="17"/>
  <c r="C151" i="17"/>
  <c r="B151" i="17"/>
  <c r="C150" i="17"/>
  <c r="B150" i="17"/>
  <c r="C149" i="17"/>
  <c r="B149" i="17"/>
  <c r="C148" i="17"/>
  <c r="B148" i="17"/>
  <c r="C147" i="17"/>
  <c r="B147" i="17"/>
  <c r="C146" i="17"/>
  <c r="B146" i="17"/>
  <c r="C145" i="17"/>
  <c r="B145" i="17"/>
  <c r="C144" i="17"/>
  <c r="B144" i="17"/>
  <c r="C143" i="17"/>
  <c r="B143" i="17"/>
  <c r="C142" i="17"/>
  <c r="B142" i="17"/>
  <c r="C141" i="17"/>
  <c r="B141" i="17"/>
  <c r="C140" i="17"/>
  <c r="B140" i="17"/>
  <c r="C139" i="17"/>
  <c r="B139" i="17"/>
  <c r="C138" i="17"/>
  <c r="B138" i="17"/>
  <c r="C137" i="17"/>
  <c r="B137" i="17"/>
  <c r="C136" i="17"/>
  <c r="B136" i="17"/>
  <c r="C135" i="17"/>
  <c r="B135" i="17"/>
  <c r="C134" i="17"/>
  <c r="B134" i="17"/>
  <c r="C133" i="17"/>
  <c r="B133" i="17"/>
  <c r="C132" i="17"/>
  <c r="B132" i="17"/>
  <c r="C131" i="17"/>
  <c r="B131" i="17"/>
  <c r="C130" i="17"/>
  <c r="B130" i="17"/>
  <c r="C129" i="17"/>
  <c r="B129" i="17"/>
  <c r="C128" i="17"/>
  <c r="B128" i="17"/>
  <c r="C127" i="17"/>
  <c r="B127" i="17"/>
  <c r="C126" i="17"/>
  <c r="B126" i="17"/>
  <c r="C125" i="17"/>
  <c r="B125" i="17"/>
  <c r="C124" i="17"/>
  <c r="B124" i="17"/>
  <c r="C123" i="17"/>
  <c r="B123" i="17"/>
  <c r="C122" i="17"/>
  <c r="B122" i="17"/>
  <c r="C121" i="17"/>
  <c r="B121" i="17"/>
  <c r="C120" i="17"/>
  <c r="B120" i="17"/>
  <c r="C119" i="17"/>
  <c r="B119" i="17"/>
  <c r="C118" i="17"/>
  <c r="B118" i="17"/>
  <c r="C117" i="17"/>
  <c r="B117" i="17"/>
  <c r="C116" i="17"/>
  <c r="B116" i="17"/>
  <c r="C115" i="17"/>
  <c r="B115" i="17"/>
  <c r="C114" i="17"/>
  <c r="B114" i="17"/>
  <c r="C113" i="17"/>
  <c r="B113" i="17"/>
  <c r="C112" i="17"/>
  <c r="B112" i="17"/>
  <c r="C111" i="17"/>
  <c r="B111" i="17"/>
  <c r="C110" i="17"/>
  <c r="B110" i="17"/>
  <c r="C109" i="17"/>
  <c r="B109" i="17"/>
  <c r="C108" i="17"/>
  <c r="B108" i="17"/>
  <c r="C107" i="17"/>
  <c r="B107" i="17"/>
  <c r="C106" i="17"/>
  <c r="B106" i="17"/>
  <c r="C105" i="17"/>
  <c r="B105" i="17"/>
  <c r="C104" i="17"/>
  <c r="B104" i="17"/>
  <c r="C103" i="17"/>
  <c r="B103" i="17"/>
  <c r="C102" i="17"/>
  <c r="B102" i="17"/>
  <c r="C101" i="17"/>
  <c r="B101" i="17"/>
  <c r="C100" i="17"/>
  <c r="B100" i="17"/>
  <c r="C99" i="17"/>
  <c r="B99" i="17"/>
  <c r="C98" i="17"/>
  <c r="B98" i="17"/>
  <c r="C97" i="17"/>
  <c r="B97" i="17"/>
  <c r="C96" i="17"/>
  <c r="B96" i="17"/>
  <c r="C95" i="17"/>
  <c r="B95" i="17"/>
  <c r="C94" i="17"/>
  <c r="B94" i="17"/>
  <c r="C93" i="17"/>
  <c r="B93" i="17"/>
  <c r="C92" i="17"/>
  <c r="B92" i="17"/>
  <c r="C91" i="17"/>
  <c r="B91" i="17"/>
  <c r="C90" i="17"/>
  <c r="B90" i="17"/>
  <c r="C89" i="17"/>
  <c r="B89" i="17"/>
  <c r="C88" i="17"/>
  <c r="B88" i="17"/>
  <c r="C87" i="17"/>
  <c r="B87" i="17"/>
  <c r="C86" i="17"/>
  <c r="B86" i="17"/>
  <c r="C85" i="17"/>
  <c r="B85" i="17"/>
  <c r="C84" i="17"/>
  <c r="B84" i="17"/>
  <c r="C83" i="17"/>
  <c r="B83" i="17"/>
  <c r="C82" i="17"/>
  <c r="B82" i="17"/>
  <c r="C81" i="17"/>
  <c r="B81" i="17"/>
  <c r="C80" i="17"/>
  <c r="B80" i="17"/>
  <c r="C79" i="17"/>
  <c r="B79" i="17"/>
  <c r="C78" i="17"/>
  <c r="B78" i="17"/>
  <c r="C77" i="17"/>
  <c r="B77" i="17"/>
  <c r="C76" i="17"/>
  <c r="B76" i="17"/>
  <c r="C75" i="17"/>
  <c r="B75" i="17"/>
  <c r="C74" i="17"/>
  <c r="B74" i="17"/>
  <c r="C73" i="17"/>
  <c r="B73" i="17"/>
  <c r="C72" i="17"/>
  <c r="B72" i="17"/>
  <c r="C71" i="17"/>
  <c r="B71" i="17"/>
  <c r="C70" i="17"/>
  <c r="B70" i="17"/>
  <c r="C69" i="17"/>
  <c r="B69" i="17"/>
  <c r="C68" i="17"/>
  <c r="B68" i="17"/>
  <c r="C67" i="17"/>
  <c r="B67" i="17"/>
  <c r="C66" i="17"/>
  <c r="B66" i="17"/>
  <c r="C65" i="17"/>
  <c r="B65" i="17"/>
  <c r="C64" i="17"/>
  <c r="B64" i="17"/>
  <c r="C63" i="17"/>
  <c r="B63" i="17"/>
  <c r="C62" i="17"/>
  <c r="B62" i="17"/>
  <c r="C61" i="17"/>
  <c r="B61" i="17"/>
  <c r="C60" i="17"/>
  <c r="B60" i="17"/>
  <c r="C59" i="17"/>
  <c r="B59" i="17"/>
  <c r="C58" i="17"/>
  <c r="B58" i="17"/>
  <c r="C57" i="17"/>
  <c r="B57" i="17"/>
  <c r="C56" i="17"/>
  <c r="B56" i="17"/>
  <c r="C55" i="17"/>
  <c r="B55" i="17"/>
  <c r="C54" i="17"/>
  <c r="B54" i="17"/>
  <c r="C53" i="17"/>
  <c r="B53" i="17"/>
  <c r="C52" i="17"/>
  <c r="B52" i="17"/>
  <c r="C51" i="17"/>
  <c r="B51" i="17"/>
  <c r="C50" i="17"/>
  <c r="B50" i="17"/>
  <c r="C49" i="17"/>
  <c r="B49" i="17"/>
  <c r="C48" i="17"/>
  <c r="B48" i="17"/>
  <c r="C47" i="17"/>
  <c r="B47" i="17"/>
  <c r="C46" i="17"/>
  <c r="B46" i="17"/>
  <c r="C45" i="17"/>
  <c r="B45" i="17"/>
  <c r="C44" i="17"/>
  <c r="B44" i="17"/>
  <c r="C43" i="17"/>
  <c r="B43" i="17"/>
  <c r="C42" i="17"/>
  <c r="B42" i="17"/>
  <c r="C41" i="17"/>
  <c r="B41" i="17"/>
  <c r="C40" i="17"/>
  <c r="B40" i="17"/>
  <c r="C39" i="17"/>
  <c r="B39" i="17"/>
  <c r="C38" i="17"/>
  <c r="B38" i="17"/>
  <c r="C37" i="17"/>
  <c r="B37" i="17"/>
  <c r="C36" i="17"/>
  <c r="B36" i="17"/>
  <c r="C35" i="17"/>
  <c r="B35" i="17"/>
  <c r="C34" i="17"/>
  <c r="B34" i="17"/>
  <c r="C33" i="17"/>
  <c r="B33" i="17"/>
  <c r="C32" i="17"/>
  <c r="B32" i="17"/>
  <c r="C31" i="17"/>
  <c r="B31" i="17"/>
  <c r="C30" i="17"/>
  <c r="B30" i="17"/>
  <c r="C29" i="17"/>
  <c r="B29" i="17"/>
  <c r="C28" i="17"/>
  <c r="B28" i="17"/>
  <c r="C27" i="17"/>
  <c r="B27" i="17"/>
  <c r="C26" i="17"/>
  <c r="B26" i="17"/>
  <c r="C25" i="17"/>
  <c r="B25" i="17"/>
  <c r="C24" i="17"/>
  <c r="B24" i="17"/>
  <c r="C23" i="17"/>
  <c r="B23" i="17"/>
  <c r="C22" i="17"/>
  <c r="B22" i="17"/>
  <c r="C21" i="17"/>
  <c r="B21" i="17"/>
  <c r="C20" i="17"/>
  <c r="B20" i="17"/>
  <c r="C19" i="17"/>
  <c r="B19" i="17"/>
  <c r="C18" i="17"/>
  <c r="B18" i="17"/>
  <c r="C17" i="17"/>
  <c r="B17" i="17"/>
  <c r="C16" i="17"/>
  <c r="B16" i="17"/>
  <c r="C15" i="17"/>
  <c r="B15" i="17"/>
  <c r="C14" i="17"/>
  <c r="B14" i="17"/>
  <c r="C13" i="17"/>
  <c r="B13" i="17"/>
  <c r="C12" i="17"/>
  <c r="B12" i="17"/>
  <c r="C11" i="17"/>
  <c r="B11" i="17"/>
  <c r="C10" i="17"/>
  <c r="B10" i="17"/>
  <c r="C9" i="17"/>
  <c r="B9" i="17"/>
  <c r="C8" i="17"/>
  <c r="B8" i="17"/>
  <c r="C7" i="17"/>
  <c r="B7" i="17"/>
  <c r="C6" i="17"/>
  <c r="B6" i="17"/>
  <c r="C5" i="17"/>
  <c r="B5" i="17"/>
  <c r="C4" i="17"/>
  <c r="B4" i="17"/>
  <c r="A2" i="17"/>
  <c r="AH2" i="17" s="1"/>
  <c r="C208" i="16"/>
  <c r="B208" i="16"/>
  <c r="C207" i="16"/>
  <c r="B207" i="16"/>
  <c r="C206" i="16"/>
  <c r="B206" i="16"/>
  <c r="C205" i="16"/>
  <c r="B205" i="16"/>
  <c r="C204" i="16"/>
  <c r="B204" i="16"/>
  <c r="C203" i="16"/>
  <c r="B203" i="16"/>
  <c r="C202" i="16"/>
  <c r="B202" i="16"/>
  <c r="C201" i="16"/>
  <c r="B201" i="16"/>
  <c r="C200" i="16"/>
  <c r="B200" i="16"/>
  <c r="C199" i="16"/>
  <c r="B199" i="16"/>
  <c r="C198" i="16"/>
  <c r="B198" i="16"/>
  <c r="C197" i="16"/>
  <c r="B197" i="16"/>
  <c r="C196" i="16"/>
  <c r="B196" i="16"/>
  <c r="C195" i="16"/>
  <c r="B195" i="16"/>
  <c r="C194" i="16"/>
  <c r="B194" i="16"/>
  <c r="C193" i="16"/>
  <c r="B193" i="16"/>
  <c r="C192" i="16"/>
  <c r="B192" i="16"/>
  <c r="C191" i="16"/>
  <c r="B191" i="16"/>
  <c r="C190" i="16"/>
  <c r="B190" i="16"/>
  <c r="C189" i="16"/>
  <c r="B189" i="16"/>
  <c r="C188" i="16"/>
  <c r="B188" i="16"/>
  <c r="C187" i="16"/>
  <c r="B187" i="16"/>
  <c r="C186" i="16"/>
  <c r="B186" i="16"/>
  <c r="C185" i="16"/>
  <c r="B185" i="16"/>
  <c r="C184" i="16"/>
  <c r="B184" i="16"/>
  <c r="C183" i="16"/>
  <c r="B183" i="16"/>
  <c r="C182" i="16"/>
  <c r="B182" i="16"/>
  <c r="C181" i="16"/>
  <c r="B181" i="16"/>
  <c r="C180" i="16"/>
  <c r="B180" i="16"/>
  <c r="C179" i="16"/>
  <c r="B179" i="16"/>
  <c r="C178" i="16"/>
  <c r="B178" i="16"/>
  <c r="C177" i="16"/>
  <c r="B177" i="16"/>
  <c r="C176" i="16"/>
  <c r="B176" i="16"/>
  <c r="C175" i="16"/>
  <c r="B175" i="16"/>
  <c r="C174" i="16"/>
  <c r="B174" i="16"/>
  <c r="C173" i="16"/>
  <c r="B173" i="16"/>
  <c r="C172" i="16"/>
  <c r="B172" i="16"/>
  <c r="C171" i="16"/>
  <c r="B171" i="16"/>
  <c r="C170" i="16"/>
  <c r="B170" i="16"/>
  <c r="C169" i="16"/>
  <c r="B169" i="16"/>
  <c r="C168" i="16"/>
  <c r="B168" i="16"/>
  <c r="C167" i="16"/>
  <c r="B167" i="16"/>
  <c r="C166" i="16"/>
  <c r="B166" i="16"/>
  <c r="C165" i="16"/>
  <c r="B165" i="16"/>
  <c r="C164" i="16"/>
  <c r="B164" i="16"/>
  <c r="C163" i="16"/>
  <c r="B163" i="16"/>
  <c r="C162" i="16"/>
  <c r="B162" i="16"/>
  <c r="C161" i="16"/>
  <c r="B161" i="16"/>
  <c r="C160" i="16"/>
  <c r="B160" i="16"/>
  <c r="C159" i="16"/>
  <c r="B159" i="16"/>
  <c r="C158" i="16"/>
  <c r="B158" i="16"/>
  <c r="C157" i="16"/>
  <c r="B157" i="16"/>
  <c r="C156" i="16"/>
  <c r="B156" i="16"/>
  <c r="C155" i="16"/>
  <c r="B155" i="16"/>
  <c r="C154" i="16"/>
  <c r="B154" i="16"/>
  <c r="C153" i="16"/>
  <c r="B153" i="16"/>
  <c r="C152" i="16"/>
  <c r="B152" i="16"/>
  <c r="C151" i="16"/>
  <c r="B151" i="16"/>
  <c r="C150" i="16"/>
  <c r="B150" i="16"/>
  <c r="C149" i="16"/>
  <c r="B149" i="16"/>
  <c r="C148" i="16"/>
  <c r="B148" i="16"/>
  <c r="C147" i="16"/>
  <c r="B147" i="16"/>
  <c r="C146" i="16"/>
  <c r="B146" i="16"/>
  <c r="C145" i="16"/>
  <c r="B145" i="16"/>
  <c r="C144" i="16"/>
  <c r="B144" i="16"/>
  <c r="C143" i="16"/>
  <c r="B143" i="16"/>
  <c r="C142" i="16"/>
  <c r="B142" i="16"/>
  <c r="C141" i="16"/>
  <c r="B141" i="16"/>
  <c r="C140" i="16"/>
  <c r="B140" i="16"/>
  <c r="C139" i="16"/>
  <c r="B139" i="16"/>
  <c r="C138" i="16"/>
  <c r="B138" i="16"/>
  <c r="C137" i="16"/>
  <c r="B137" i="16"/>
  <c r="C136" i="16"/>
  <c r="B136" i="16"/>
  <c r="C135" i="16"/>
  <c r="B135" i="16"/>
  <c r="C134" i="16"/>
  <c r="B134" i="16"/>
  <c r="C133" i="16"/>
  <c r="B133" i="16"/>
  <c r="C132" i="16"/>
  <c r="B132" i="16"/>
  <c r="C131" i="16"/>
  <c r="B131" i="16"/>
  <c r="C130" i="16"/>
  <c r="B130" i="16"/>
  <c r="C129" i="16"/>
  <c r="B129" i="16"/>
  <c r="C128" i="16"/>
  <c r="B128" i="16"/>
  <c r="C127" i="16"/>
  <c r="B127" i="16"/>
  <c r="C126" i="16"/>
  <c r="B126" i="16"/>
  <c r="C125" i="16"/>
  <c r="B125" i="16"/>
  <c r="C124" i="16"/>
  <c r="B124" i="16"/>
  <c r="C123" i="16"/>
  <c r="B123" i="16"/>
  <c r="C122" i="16"/>
  <c r="B122" i="16"/>
  <c r="C121" i="16"/>
  <c r="B121" i="16"/>
  <c r="C120" i="16"/>
  <c r="B120" i="16"/>
  <c r="C119" i="16"/>
  <c r="B119" i="16"/>
  <c r="C118" i="16"/>
  <c r="B118" i="16"/>
  <c r="C117" i="16"/>
  <c r="B117" i="16"/>
  <c r="C116" i="16"/>
  <c r="B116" i="16"/>
  <c r="C115" i="16"/>
  <c r="B115" i="16"/>
  <c r="C114" i="16"/>
  <c r="B114" i="16"/>
  <c r="C113" i="16"/>
  <c r="B113" i="16"/>
  <c r="C112" i="16"/>
  <c r="B112" i="16"/>
  <c r="C111" i="16"/>
  <c r="B111" i="16"/>
  <c r="C110" i="16"/>
  <c r="B110" i="16"/>
  <c r="C109" i="16"/>
  <c r="B109" i="16"/>
  <c r="C108" i="16"/>
  <c r="B108" i="16"/>
  <c r="C107" i="16"/>
  <c r="B107" i="16"/>
  <c r="C106" i="16"/>
  <c r="B106" i="16"/>
  <c r="C105" i="16"/>
  <c r="B105" i="16"/>
  <c r="C104" i="16"/>
  <c r="B104" i="16"/>
  <c r="C103" i="16"/>
  <c r="B103" i="16"/>
  <c r="C102" i="16"/>
  <c r="B102" i="16"/>
  <c r="C101" i="16"/>
  <c r="B101" i="16"/>
  <c r="C100" i="16"/>
  <c r="B100" i="16"/>
  <c r="C99" i="16"/>
  <c r="B99" i="16"/>
  <c r="C98" i="16"/>
  <c r="B98" i="16"/>
  <c r="C97" i="16"/>
  <c r="B97" i="16"/>
  <c r="C96" i="16"/>
  <c r="B96" i="16"/>
  <c r="C95" i="16"/>
  <c r="B95" i="16"/>
  <c r="C94" i="16"/>
  <c r="B94" i="16"/>
  <c r="C93" i="16"/>
  <c r="B93" i="16"/>
  <c r="C92" i="16"/>
  <c r="B92" i="16"/>
  <c r="C91" i="16"/>
  <c r="B91" i="16"/>
  <c r="C90" i="16"/>
  <c r="B90" i="16"/>
  <c r="C89" i="16"/>
  <c r="B89" i="16"/>
  <c r="C88" i="16"/>
  <c r="B88" i="16"/>
  <c r="C87" i="16"/>
  <c r="B87" i="16"/>
  <c r="C86" i="16"/>
  <c r="B86" i="16"/>
  <c r="C85" i="16"/>
  <c r="B85" i="16"/>
  <c r="C84" i="16"/>
  <c r="B84" i="16"/>
  <c r="C83" i="16"/>
  <c r="B83" i="16"/>
  <c r="C82" i="16"/>
  <c r="B82" i="16"/>
  <c r="C81" i="16"/>
  <c r="B81" i="16"/>
  <c r="C80" i="16"/>
  <c r="B80" i="16"/>
  <c r="C79" i="16"/>
  <c r="B79" i="16"/>
  <c r="C78" i="16"/>
  <c r="B78" i="16"/>
  <c r="C77" i="16"/>
  <c r="B77" i="16"/>
  <c r="C76" i="16"/>
  <c r="B76" i="16"/>
  <c r="C75" i="16"/>
  <c r="B75" i="16"/>
  <c r="C74" i="16"/>
  <c r="B74" i="16"/>
  <c r="C73" i="16"/>
  <c r="B73" i="16"/>
  <c r="C72" i="16"/>
  <c r="B72" i="16"/>
  <c r="C71" i="16"/>
  <c r="B71" i="16"/>
  <c r="C70" i="16"/>
  <c r="B70" i="16"/>
  <c r="C69" i="16"/>
  <c r="B69" i="16"/>
  <c r="C68" i="16"/>
  <c r="B68" i="16"/>
  <c r="C67" i="16"/>
  <c r="B67" i="16"/>
  <c r="C66" i="16"/>
  <c r="B66" i="16"/>
  <c r="C65" i="16"/>
  <c r="B65" i="16"/>
  <c r="C64" i="16"/>
  <c r="B64" i="16"/>
  <c r="C63" i="16"/>
  <c r="B63" i="16"/>
  <c r="C62" i="16"/>
  <c r="B62" i="16"/>
  <c r="C61" i="16"/>
  <c r="B61" i="16"/>
  <c r="C60" i="16"/>
  <c r="B60" i="16"/>
  <c r="C59" i="16"/>
  <c r="B59" i="16"/>
  <c r="C58" i="16"/>
  <c r="B58" i="16"/>
  <c r="C57" i="16"/>
  <c r="B57" i="16"/>
  <c r="C56" i="16"/>
  <c r="B56" i="16"/>
  <c r="C55" i="16"/>
  <c r="B55" i="16"/>
  <c r="C54" i="16"/>
  <c r="B54" i="16"/>
  <c r="C53" i="16"/>
  <c r="B53" i="16"/>
  <c r="C52" i="16"/>
  <c r="B52" i="16"/>
  <c r="C51" i="16"/>
  <c r="B51" i="16"/>
  <c r="C50" i="16"/>
  <c r="B50" i="16"/>
  <c r="C49" i="16"/>
  <c r="B49" i="16"/>
  <c r="C48" i="16"/>
  <c r="B48" i="16"/>
  <c r="C47" i="16"/>
  <c r="B47" i="16"/>
  <c r="C46" i="16"/>
  <c r="B46" i="16"/>
  <c r="C45" i="16"/>
  <c r="B45" i="16"/>
  <c r="C44" i="16"/>
  <c r="B44" i="16"/>
  <c r="C43" i="16"/>
  <c r="B43" i="16"/>
  <c r="C42" i="16"/>
  <c r="B42" i="16"/>
  <c r="C41" i="16"/>
  <c r="B41" i="16"/>
  <c r="C40" i="16"/>
  <c r="B40" i="16"/>
  <c r="C39" i="16"/>
  <c r="B39" i="16"/>
  <c r="C38" i="16"/>
  <c r="B38" i="16"/>
  <c r="C37" i="16"/>
  <c r="B37" i="16"/>
  <c r="C36" i="16"/>
  <c r="B36" i="16"/>
  <c r="C35" i="16"/>
  <c r="B35" i="16"/>
  <c r="C34" i="16"/>
  <c r="B34" i="16"/>
  <c r="C33" i="16"/>
  <c r="B33" i="16"/>
  <c r="C32" i="16"/>
  <c r="B32" i="16"/>
  <c r="C31" i="16"/>
  <c r="B31" i="16"/>
  <c r="C30" i="16"/>
  <c r="B30" i="16"/>
  <c r="C29" i="16"/>
  <c r="B29" i="16"/>
  <c r="C28" i="16"/>
  <c r="B28" i="16"/>
  <c r="C27" i="16"/>
  <c r="B27" i="16"/>
  <c r="C26" i="16"/>
  <c r="B26" i="16"/>
  <c r="C25" i="16"/>
  <c r="B25" i="16"/>
  <c r="C24" i="16"/>
  <c r="B24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12" i="16"/>
  <c r="B12" i="16"/>
  <c r="C11" i="16"/>
  <c r="B11" i="16"/>
  <c r="C10" i="16"/>
  <c r="B10" i="16"/>
  <c r="C9" i="16"/>
  <c r="B9" i="16"/>
  <c r="C8" i="16"/>
  <c r="B8" i="16"/>
  <c r="C7" i="16"/>
  <c r="B7" i="16"/>
  <c r="C6" i="16"/>
  <c r="B6" i="16"/>
  <c r="C5" i="16"/>
  <c r="B5" i="16"/>
  <c r="C4" i="16"/>
  <c r="B4" i="16"/>
  <c r="A2" i="16"/>
  <c r="AF1" i="16" s="1"/>
  <c r="C208" i="15"/>
  <c r="B208" i="15"/>
  <c r="C207" i="15"/>
  <c r="B207" i="15"/>
  <c r="C206" i="15"/>
  <c r="B206" i="15"/>
  <c r="C205" i="15"/>
  <c r="B205" i="15"/>
  <c r="C204" i="15"/>
  <c r="B204" i="15"/>
  <c r="C203" i="15"/>
  <c r="B203" i="15"/>
  <c r="C202" i="15"/>
  <c r="B202" i="15"/>
  <c r="C201" i="15"/>
  <c r="B201" i="15"/>
  <c r="C200" i="15"/>
  <c r="B200" i="15"/>
  <c r="C199" i="15"/>
  <c r="B199" i="15"/>
  <c r="C198" i="15"/>
  <c r="B198" i="15"/>
  <c r="C197" i="15"/>
  <c r="B197" i="15"/>
  <c r="C196" i="15"/>
  <c r="B196" i="15"/>
  <c r="C195" i="15"/>
  <c r="B195" i="15"/>
  <c r="C194" i="15"/>
  <c r="B194" i="15"/>
  <c r="C193" i="15"/>
  <c r="B193" i="15"/>
  <c r="C192" i="15"/>
  <c r="B192" i="15"/>
  <c r="C191" i="15"/>
  <c r="B191" i="15"/>
  <c r="C190" i="15"/>
  <c r="B190" i="15"/>
  <c r="C189" i="15"/>
  <c r="B189" i="15"/>
  <c r="C188" i="15"/>
  <c r="B188" i="15"/>
  <c r="C187" i="15"/>
  <c r="B187" i="15"/>
  <c r="C186" i="15"/>
  <c r="B186" i="15"/>
  <c r="C185" i="15"/>
  <c r="B185" i="15"/>
  <c r="C184" i="15"/>
  <c r="B184" i="15"/>
  <c r="C183" i="15"/>
  <c r="B183" i="15"/>
  <c r="C182" i="15"/>
  <c r="B182" i="15"/>
  <c r="C181" i="15"/>
  <c r="B181" i="15"/>
  <c r="C180" i="15"/>
  <c r="B180" i="15"/>
  <c r="C179" i="15"/>
  <c r="B179" i="15"/>
  <c r="C178" i="15"/>
  <c r="B178" i="15"/>
  <c r="C177" i="15"/>
  <c r="B177" i="15"/>
  <c r="C176" i="15"/>
  <c r="B176" i="15"/>
  <c r="C175" i="15"/>
  <c r="B175" i="15"/>
  <c r="C174" i="15"/>
  <c r="B174" i="15"/>
  <c r="C173" i="15"/>
  <c r="B173" i="15"/>
  <c r="C172" i="15"/>
  <c r="B172" i="15"/>
  <c r="C171" i="15"/>
  <c r="B171" i="15"/>
  <c r="C170" i="15"/>
  <c r="B170" i="15"/>
  <c r="C169" i="15"/>
  <c r="B169" i="15"/>
  <c r="C168" i="15"/>
  <c r="B168" i="15"/>
  <c r="C167" i="15"/>
  <c r="B167" i="15"/>
  <c r="C166" i="15"/>
  <c r="B166" i="15"/>
  <c r="C165" i="15"/>
  <c r="B165" i="15"/>
  <c r="C164" i="15"/>
  <c r="B164" i="15"/>
  <c r="C163" i="15"/>
  <c r="B163" i="15"/>
  <c r="C162" i="15"/>
  <c r="B162" i="15"/>
  <c r="C161" i="15"/>
  <c r="B161" i="15"/>
  <c r="C160" i="15"/>
  <c r="B160" i="15"/>
  <c r="C159" i="15"/>
  <c r="B159" i="15"/>
  <c r="C158" i="15"/>
  <c r="B158" i="15"/>
  <c r="C157" i="15"/>
  <c r="B157" i="15"/>
  <c r="C156" i="15"/>
  <c r="B156" i="15"/>
  <c r="C155" i="15"/>
  <c r="B155" i="15"/>
  <c r="C154" i="15"/>
  <c r="B154" i="15"/>
  <c r="C153" i="15"/>
  <c r="B153" i="15"/>
  <c r="C152" i="15"/>
  <c r="B152" i="15"/>
  <c r="C151" i="15"/>
  <c r="B151" i="15"/>
  <c r="C150" i="15"/>
  <c r="B150" i="15"/>
  <c r="C149" i="15"/>
  <c r="B149" i="15"/>
  <c r="C148" i="15"/>
  <c r="B148" i="15"/>
  <c r="C147" i="15"/>
  <c r="B147" i="15"/>
  <c r="C146" i="15"/>
  <c r="B146" i="15"/>
  <c r="C145" i="15"/>
  <c r="B145" i="15"/>
  <c r="C144" i="15"/>
  <c r="B144" i="15"/>
  <c r="C143" i="15"/>
  <c r="B143" i="15"/>
  <c r="C142" i="15"/>
  <c r="B142" i="15"/>
  <c r="C141" i="15"/>
  <c r="B141" i="15"/>
  <c r="C140" i="15"/>
  <c r="B140" i="15"/>
  <c r="C139" i="15"/>
  <c r="B139" i="15"/>
  <c r="C138" i="15"/>
  <c r="B138" i="15"/>
  <c r="C137" i="15"/>
  <c r="B137" i="15"/>
  <c r="C136" i="15"/>
  <c r="B136" i="15"/>
  <c r="C135" i="15"/>
  <c r="B135" i="15"/>
  <c r="C134" i="15"/>
  <c r="B134" i="15"/>
  <c r="C133" i="15"/>
  <c r="B133" i="15"/>
  <c r="C132" i="15"/>
  <c r="B132" i="15"/>
  <c r="C131" i="15"/>
  <c r="B131" i="15"/>
  <c r="C130" i="15"/>
  <c r="B130" i="15"/>
  <c r="C129" i="15"/>
  <c r="B129" i="15"/>
  <c r="C128" i="15"/>
  <c r="B128" i="15"/>
  <c r="C127" i="15"/>
  <c r="B127" i="15"/>
  <c r="C126" i="15"/>
  <c r="B126" i="15"/>
  <c r="C125" i="15"/>
  <c r="B125" i="15"/>
  <c r="C124" i="15"/>
  <c r="B124" i="15"/>
  <c r="C123" i="15"/>
  <c r="B123" i="15"/>
  <c r="C122" i="15"/>
  <c r="B122" i="15"/>
  <c r="C121" i="15"/>
  <c r="B121" i="15"/>
  <c r="C120" i="15"/>
  <c r="B120" i="15"/>
  <c r="C119" i="15"/>
  <c r="B119" i="15"/>
  <c r="C118" i="15"/>
  <c r="B118" i="15"/>
  <c r="C117" i="15"/>
  <c r="B117" i="15"/>
  <c r="C116" i="15"/>
  <c r="B116" i="15"/>
  <c r="C115" i="15"/>
  <c r="B115" i="15"/>
  <c r="C114" i="15"/>
  <c r="B114" i="15"/>
  <c r="C113" i="15"/>
  <c r="B113" i="15"/>
  <c r="C112" i="15"/>
  <c r="B112" i="15"/>
  <c r="C111" i="15"/>
  <c r="B111" i="15"/>
  <c r="C110" i="15"/>
  <c r="B110" i="15"/>
  <c r="C109" i="15"/>
  <c r="B109" i="15"/>
  <c r="C108" i="15"/>
  <c r="B108" i="15"/>
  <c r="C107" i="15"/>
  <c r="B107" i="15"/>
  <c r="C106" i="15"/>
  <c r="B106" i="15"/>
  <c r="C105" i="15"/>
  <c r="B105" i="15"/>
  <c r="C104" i="15"/>
  <c r="B104" i="15"/>
  <c r="C103" i="15"/>
  <c r="B103" i="15"/>
  <c r="C102" i="15"/>
  <c r="B102" i="15"/>
  <c r="C101" i="15"/>
  <c r="B101" i="15"/>
  <c r="C100" i="15"/>
  <c r="B100" i="15"/>
  <c r="C99" i="15"/>
  <c r="B99" i="15"/>
  <c r="C98" i="15"/>
  <c r="B98" i="15"/>
  <c r="C97" i="15"/>
  <c r="B97" i="15"/>
  <c r="C96" i="15"/>
  <c r="B96" i="15"/>
  <c r="C95" i="15"/>
  <c r="B95" i="15"/>
  <c r="C94" i="15"/>
  <c r="B94" i="15"/>
  <c r="C93" i="15"/>
  <c r="B93" i="15"/>
  <c r="C92" i="15"/>
  <c r="B92" i="15"/>
  <c r="C91" i="15"/>
  <c r="B91" i="15"/>
  <c r="C90" i="15"/>
  <c r="B90" i="15"/>
  <c r="C89" i="15"/>
  <c r="B89" i="15"/>
  <c r="C88" i="15"/>
  <c r="B88" i="15"/>
  <c r="C87" i="15"/>
  <c r="B87" i="15"/>
  <c r="C86" i="15"/>
  <c r="B86" i="15"/>
  <c r="C85" i="15"/>
  <c r="B85" i="15"/>
  <c r="C84" i="15"/>
  <c r="B84" i="15"/>
  <c r="C83" i="15"/>
  <c r="B83" i="15"/>
  <c r="C82" i="15"/>
  <c r="B82" i="15"/>
  <c r="C81" i="15"/>
  <c r="B81" i="15"/>
  <c r="C80" i="15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A2" i="15"/>
  <c r="AF1" i="15" s="1"/>
  <c r="AH1" i="14"/>
  <c r="AB1" i="14"/>
  <c r="L1" i="14"/>
  <c r="C208" i="14"/>
  <c r="B208" i="14"/>
  <c r="C207" i="14"/>
  <c r="B207" i="14"/>
  <c r="C206" i="14"/>
  <c r="B206" i="14"/>
  <c r="C205" i="14"/>
  <c r="B205" i="14"/>
  <c r="C204" i="14"/>
  <c r="B204" i="14"/>
  <c r="C203" i="14"/>
  <c r="B203" i="14"/>
  <c r="C202" i="14"/>
  <c r="B202" i="14"/>
  <c r="C201" i="14"/>
  <c r="B201" i="14"/>
  <c r="C200" i="14"/>
  <c r="B200" i="14"/>
  <c r="C199" i="14"/>
  <c r="B199" i="14"/>
  <c r="C198" i="14"/>
  <c r="B198" i="14"/>
  <c r="C197" i="14"/>
  <c r="B197" i="14"/>
  <c r="C196" i="14"/>
  <c r="B196" i="14"/>
  <c r="C195" i="14"/>
  <c r="B195" i="14"/>
  <c r="C194" i="14"/>
  <c r="B194" i="14"/>
  <c r="C193" i="14"/>
  <c r="B193" i="14"/>
  <c r="C192" i="14"/>
  <c r="B192" i="14"/>
  <c r="C191" i="14"/>
  <c r="B191" i="14"/>
  <c r="C190" i="14"/>
  <c r="B190" i="14"/>
  <c r="C189" i="14"/>
  <c r="B189" i="14"/>
  <c r="C188" i="14"/>
  <c r="B188" i="14"/>
  <c r="C187" i="14"/>
  <c r="B187" i="14"/>
  <c r="C186" i="14"/>
  <c r="B186" i="14"/>
  <c r="C185" i="14"/>
  <c r="B185" i="14"/>
  <c r="C184" i="14"/>
  <c r="B184" i="14"/>
  <c r="C183" i="14"/>
  <c r="B183" i="14"/>
  <c r="C182" i="14"/>
  <c r="B182" i="14"/>
  <c r="C181" i="14"/>
  <c r="B181" i="14"/>
  <c r="C180" i="14"/>
  <c r="B180" i="14"/>
  <c r="C179" i="14"/>
  <c r="B179" i="14"/>
  <c r="C178" i="14"/>
  <c r="B178" i="14"/>
  <c r="C177" i="14"/>
  <c r="B177" i="14"/>
  <c r="C176" i="14"/>
  <c r="B176" i="14"/>
  <c r="C175" i="14"/>
  <c r="B175" i="14"/>
  <c r="C174" i="14"/>
  <c r="B174" i="14"/>
  <c r="C173" i="14"/>
  <c r="B173" i="14"/>
  <c r="C172" i="14"/>
  <c r="B172" i="14"/>
  <c r="C171" i="14"/>
  <c r="B171" i="14"/>
  <c r="C170" i="14"/>
  <c r="B170" i="14"/>
  <c r="C169" i="14"/>
  <c r="B169" i="14"/>
  <c r="C168" i="14"/>
  <c r="B168" i="14"/>
  <c r="C167" i="14"/>
  <c r="B167" i="14"/>
  <c r="C166" i="14"/>
  <c r="B166" i="14"/>
  <c r="C165" i="14"/>
  <c r="B165" i="14"/>
  <c r="C164" i="14"/>
  <c r="B164" i="14"/>
  <c r="C163" i="14"/>
  <c r="B163" i="14"/>
  <c r="C162" i="14"/>
  <c r="B162" i="14"/>
  <c r="C161" i="14"/>
  <c r="B161" i="14"/>
  <c r="C160" i="14"/>
  <c r="B160" i="14"/>
  <c r="C159" i="14"/>
  <c r="B159" i="14"/>
  <c r="C158" i="14"/>
  <c r="B158" i="14"/>
  <c r="C157" i="14"/>
  <c r="B157" i="14"/>
  <c r="C156" i="14"/>
  <c r="B156" i="14"/>
  <c r="C155" i="14"/>
  <c r="B155" i="14"/>
  <c r="C154" i="14"/>
  <c r="B154" i="14"/>
  <c r="C153" i="14"/>
  <c r="B153" i="14"/>
  <c r="C152" i="14"/>
  <c r="B152" i="14"/>
  <c r="C151" i="14"/>
  <c r="B151" i="14"/>
  <c r="C150" i="14"/>
  <c r="B150" i="14"/>
  <c r="C149" i="14"/>
  <c r="B149" i="14"/>
  <c r="C148" i="14"/>
  <c r="B148" i="14"/>
  <c r="C147" i="14"/>
  <c r="B147" i="14"/>
  <c r="C146" i="14"/>
  <c r="B146" i="14"/>
  <c r="C145" i="14"/>
  <c r="B145" i="14"/>
  <c r="C144" i="14"/>
  <c r="B144" i="14"/>
  <c r="C143" i="14"/>
  <c r="B143" i="14"/>
  <c r="C142" i="14"/>
  <c r="B142" i="14"/>
  <c r="C141" i="14"/>
  <c r="B141" i="14"/>
  <c r="C140" i="14"/>
  <c r="B140" i="14"/>
  <c r="C139" i="14"/>
  <c r="B139" i="14"/>
  <c r="C138" i="14"/>
  <c r="B138" i="14"/>
  <c r="C137" i="14"/>
  <c r="B137" i="14"/>
  <c r="C136" i="14"/>
  <c r="B136" i="14"/>
  <c r="C135" i="14"/>
  <c r="B135" i="14"/>
  <c r="C134" i="14"/>
  <c r="B134" i="14"/>
  <c r="C133" i="14"/>
  <c r="B133" i="14"/>
  <c r="C132" i="14"/>
  <c r="B132" i="14"/>
  <c r="C131" i="14"/>
  <c r="B131" i="14"/>
  <c r="C130" i="14"/>
  <c r="B130" i="14"/>
  <c r="C129" i="14"/>
  <c r="B129" i="14"/>
  <c r="C128" i="14"/>
  <c r="B128" i="14"/>
  <c r="C127" i="14"/>
  <c r="B127" i="14"/>
  <c r="C126" i="14"/>
  <c r="B126" i="14"/>
  <c r="C125" i="14"/>
  <c r="B125" i="14"/>
  <c r="C124" i="14"/>
  <c r="B124" i="14"/>
  <c r="C123" i="14"/>
  <c r="B123" i="14"/>
  <c r="C122" i="14"/>
  <c r="B122" i="14"/>
  <c r="C121" i="14"/>
  <c r="B121" i="14"/>
  <c r="C120" i="14"/>
  <c r="B120" i="14"/>
  <c r="C119" i="14"/>
  <c r="B119" i="14"/>
  <c r="C118" i="14"/>
  <c r="B118" i="14"/>
  <c r="C117" i="14"/>
  <c r="B117" i="14"/>
  <c r="C116" i="14"/>
  <c r="B116" i="14"/>
  <c r="C115" i="14"/>
  <c r="B115" i="14"/>
  <c r="C114" i="14"/>
  <c r="B114" i="14"/>
  <c r="C113" i="14"/>
  <c r="B113" i="14"/>
  <c r="C112" i="14"/>
  <c r="B112" i="14"/>
  <c r="C111" i="14"/>
  <c r="B111" i="14"/>
  <c r="C110" i="14"/>
  <c r="B110" i="14"/>
  <c r="C109" i="14"/>
  <c r="B109" i="14"/>
  <c r="C108" i="14"/>
  <c r="B108" i="14"/>
  <c r="C107" i="14"/>
  <c r="B107" i="14"/>
  <c r="C106" i="14"/>
  <c r="B106" i="14"/>
  <c r="C105" i="14"/>
  <c r="B105" i="14"/>
  <c r="C104" i="14"/>
  <c r="B104" i="14"/>
  <c r="C103" i="14"/>
  <c r="B103" i="14"/>
  <c r="C102" i="14"/>
  <c r="B102" i="14"/>
  <c r="C101" i="14"/>
  <c r="B101" i="14"/>
  <c r="C100" i="14"/>
  <c r="B100" i="14"/>
  <c r="C99" i="14"/>
  <c r="B99" i="14"/>
  <c r="C98" i="14"/>
  <c r="B98" i="14"/>
  <c r="C97" i="14"/>
  <c r="B97" i="14"/>
  <c r="C96" i="14"/>
  <c r="B96" i="14"/>
  <c r="C95" i="14"/>
  <c r="B95" i="14"/>
  <c r="C94" i="14"/>
  <c r="B94" i="14"/>
  <c r="C93" i="14"/>
  <c r="B93" i="14"/>
  <c r="C92" i="14"/>
  <c r="B92" i="14"/>
  <c r="C91" i="14"/>
  <c r="B91" i="14"/>
  <c r="C90" i="14"/>
  <c r="B90" i="14"/>
  <c r="C89" i="14"/>
  <c r="B89" i="14"/>
  <c r="C88" i="14"/>
  <c r="B88" i="14"/>
  <c r="C87" i="14"/>
  <c r="B87" i="14"/>
  <c r="C86" i="14"/>
  <c r="B86" i="14"/>
  <c r="C85" i="14"/>
  <c r="B85" i="14"/>
  <c r="C84" i="14"/>
  <c r="B84" i="14"/>
  <c r="C83" i="14"/>
  <c r="B83" i="14"/>
  <c r="C82" i="14"/>
  <c r="B82" i="14"/>
  <c r="C81" i="14"/>
  <c r="B81" i="14"/>
  <c r="C80" i="14"/>
  <c r="B80" i="14"/>
  <c r="C79" i="14"/>
  <c r="B79" i="14"/>
  <c r="C78" i="14"/>
  <c r="B78" i="14"/>
  <c r="C77" i="14"/>
  <c r="B77" i="14"/>
  <c r="C76" i="14"/>
  <c r="B76" i="14"/>
  <c r="C75" i="14"/>
  <c r="B75" i="14"/>
  <c r="C74" i="14"/>
  <c r="B74" i="14"/>
  <c r="C73" i="14"/>
  <c r="B73" i="14"/>
  <c r="C72" i="14"/>
  <c r="B72" i="14"/>
  <c r="C71" i="14"/>
  <c r="B71" i="14"/>
  <c r="C70" i="14"/>
  <c r="B70" i="14"/>
  <c r="C69" i="14"/>
  <c r="B69" i="14"/>
  <c r="C68" i="14"/>
  <c r="B68" i="14"/>
  <c r="C67" i="14"/>
  <c r="B67" i="14"/>
  <c r="C66" i="14"/>
  <c r="B66" i="14"/>
  <c r="C65" i="14"/>
  <c r="B65" i="14"/>
  <c r="C64" i="14"/>
  <c r="B64" i="14"/>
  <c r="C63" i="14"/>
  <c r="B63" i="14"/>
  <c r="C62" i="14"/>
  <c r="B62" i="14"/>
  <c r="C61" i="14"/>
  <c r="B61" i="14"/>
  <c r="C60" i="14"/>
  <c r="B60" i="14"/>
  <c r="C59" i="14"/>
  <c r="B59" i="14"/>
  <c r="C58" i="14"/>
  <c r="B58" i="14"/>
  <c r="C57" i="14"/>
  <c r="B57" i="14"/>
  <c r="C56" i="14"/>
  <c r="B56" i="14"/>
  <c r="C55" i="14"/>
  <c r="B55" i="14"/>
  <c r="C54" i="14"/>
  <c r="B54" i="14"/>
  <c r="C53" i="14"/>
  <c r="B53" i="14"/>
  <c r="C52" i="14"/>
  <c r="B52" i="14"/>
  <c r="C51" i="14"/>
  <c r="B51" i="14"/>
  <c r="C50" i="14"/>
  <c r="B50" i="14"/>
  <c r="C49" i="14"/>
  <c r="B49" i="14"/>
  <c r="C48" i="14"/>
  <c r="B48" i="14"/>
  <c r="C47" i="14"/>
  <c r="B47" i="14"/>
  <c r="C46" i="14"/>
  <c r="B46" i="14"/>
  <c r="C45" i="14"/>
  <c r="B45" i="14"/>
  <c r="C44" i="14"/>
  <c r="B44" i="14"/>
  <c r="C43" i="14"/>
  <c r="B43" i="14"/>
  <c r="C42" i="14"/>
  <c r="B42" i="14"/>
  <c r="C41" i="14"/>
  <c r="B41" i="14"/>
  <c r="C40" i="14"/>
  <c r="B40" i="14"/>
  <c r="C39" i="14"/>
  <c r="B39" i="14"/>
  <c r="C38" i="14"/>
  <c r="B38" i="14"/>
  <c r="C37" i="14"/>
  <c r="B37" i="14"/>
  <c r="C36" i="14"/>
  <c r="B36" i="14"/>
  <c r="C35" i="14"/>
  <c r="B35" i="14"/>
  <c r="C34" i="14"/>
  <c r="B34" i="14"/>
  <c r="C33" i="14"/>
  <c r="B33" i="14"/>
  <c r="C32" i="14"/>
  <c r="B32" i="14"/>
  <c r="C31" i="14"/>
  <c r="B31" i="14"/>
  <c r="C30" i="14"/>
  <c r="B30" i="14"/>
  <c r="C29" i="14"/>
  <c r="B29" i="14"/>
  <c r="C28" i="14"/>
  <c r="B28" i="14"/>
  <c r="C27" i="14"/>
  <c r="B27" i="14"/>
  <c r="C26" i="14"/>
  <c r="B26" i="14"/>
  <c r="C25" i="14"/>
  <c r="B25" i="14"/>
  <c r="C24" i="14"/>
  <c r="B24" i="14"/>
  <c r="C23" i="14"/>
  <c r="B23" i="14"/>
  <c r="C22" i="14"/>
  <c r="B22" i="14"/>
  <c r="C21" i="14"/>
  <c r="B21" i="14"/>
  <c r="C20" i="14"/>
  <c r="B20" i="14"/>
  <c r="C19" i="14"/>
  <c r="B19" i="14"/>
  <c r="C18" i="14"/>
  <c r="B18" i="14"/>
  <c r="C17" i="14"/>
  <c r="B17" i="14"/>
  <c r="C16" i="14"/>
  <c r="B16" i="14"/>
  <c r="C15" i="14"/>
  <c r="B15" i="14"/>
  <c r="C14" i="14"/>
  <c r="B14" i="14"/>
  <c r="C13" i="14"/>
  <c r="B13" i="14"/>
  <c r="C12" i="14"/>
  <c r="B12" i="14"/>
  <c r="C11" i="14"/>
  <c r="B11" i="14"/>
  <c r="C10" i="14"/>
  <c r="B10" i="14"/>
  <c r="C9" i="14"/>
  <c r="B9" i="14"/>
  <c r="C8" i="14"/>
  <c r="B8" i="14"/>
  <c r="C7" i="14"/>
  <c r="B7" i="14"/>
  <c r="C6" i="14"/>
  <c r="B6" i="14"/>
  <c r="C5" i="14"/>
  <c r="B5" i="14"/>
  <c r="C4" i="14"/>
  <c r="B4" i="14"/>
  <c r="A2" i="14"/>
  <c r="AF1" i="14" s="1"/>
  <c r="C208" i="13"/>
  <c r="B208" i="13"/>
  <c r="C207" i="13"/>
  <c r="B207" i="13"/>
  <c r="C206" i="13"/>
  <c r="B206" i="13"/>
  <c r="C205" i="13"/>
  <c r="B205" i="13"/>
  <c r="C204" i="13"/>
  <c r="B204" i="13"/>
  <c r="C203" i="13"/>
  <c r="B203" i="13"/>
  <c r="C202" i="13"/>
  <c r="B202" i="13"/>
  <c r="C201" i="13"/>
  <c r="B201" i="13"/>
  <c r="C200" i="13"/>
  <c r="B200" i="13"/>
  <c r="C199" i="13"/>
  <c r="B199" i="13"/>
  <c r="C198" i="13"/>
  <c r="B198" i="13"/>
  <c r="C197" i="13"/>
  <c r="B197" i="13"/>
  <c r="C196" i="13"/>
  <c r="B196" i="13"/>
  <c r="C195" i="13"/>
  <c r="B195" i="13"/>
  <c r="C194" i="13"/>
  <c r="B194" i="13"/>
  <c r="C193" i="13"/>
  <c r="B193" i="13"/>
  <c r="C192" i="13"/>
  <c r="B192" i="13"/>
  <c r="C191" i="13"/>
  <c r="B191" i="13"/>
  <c r="C190" i="13"/>
  <c r="B190" i="13"/>
  <c r="C189" i="13"/>
  <c r="B189" i="13"/>
  <c r="C188" i="13"/>
  <c r="B188" i="13"/>
  <c r="C187" i="13"/>
  <c r="B187" i="13"/>
  <c r="C186" i="13"/>
  <c r="B186" i="13"/>
  <c r="C185" i="13"/>
  <c r="B185" i="13"/>
  <c r="C184" i="13"/>
  <c r="B184" i="13"/>
  <c r="C183" i="13"/>
  <c r="B183" i="13"/>
  <c r="C182" i="13"/>
  <c r="B182" i="13"/>
  <c r="C181" i="13"/>
  <c r="B181" i="13"/>
  <c r="C180" i="13"/>
  <c r="B180" i="13"/>
  <c r="C179" i="13"/>
  <c r="B179" i="13"/>
  <c r="C178" i="13"/>
  <c r="B178" i="13"/>
  <c r="C177" i="13"/>
  <c r="B177" i="13"/>
  <c r="C176" i="13"/>
  <c r="B176" i="13"/>
  <c r="C175" i="13"/>
  <c r="B175" i="13"/>
  <c r="C174" i="13"/>
  <c r="B174" i="13"/>
  <c r="C173" i="13"/>
  <c r="B173" i="13"/>
  <c r="C172" i="13"/>
  <c r="B172" i="13"/>
  <c r="C171" i="13"/>
  <c r="B171" i="13"/>
  <c r="C170" i="13"/>
  <c r="B170" i="13"/>
  <c r="C169" i="13"/>
  <c r="B169" i="13"/>
  <c r="C168" i="13"/>
  <c r="B168" i="13"/>
  <c r="C167" i="13"/>
  <c r="B167" i="13"/>
  <c r="C166" i="13"/>
  <c r="B166" i="13"/>
  <c r="C165" i="13"/>
  <c r="B165" i="13"/>
  <c r="C164" i="13"/>
  <c r="B164" i="13"/>
  <c r="C163" i="13"/>
  <c r="B163" i="13"/>
  <c r="C162" i="13"/>
  <c r="B162" i="13"/>
  <c r="C161" i="13"/>
  <c r="B161" i="13"/>
  <c r="C160" i="13"/>
  <c r="B160" i="13"/>
  <c r="C159" i="13"/>
  <c r="B159" i="13"/>
  <c r="C158" i="13"/>
  <c r="B158" i="13"/>
  <c r="C157" i="13"/>
  <c r="B157" i="13"/>
  <c r="C156" i="13"/>
  <c r="B156" i="13"/>
  <c r="C155" i="13"/>
  <c r="B155" i="13"/>
  <c r="C154" i="13"/>
  <c r="B154" i="13"/>
  <c r="C153" i="13"/>
  <c r="B153" i="13"/>
  <c r="C152" i="13"/>
  <c r="B152" i="13"/>
  <c r="C151" i="13"/>
  <c r="B151" i="13"/>
  <c r="C150" i="13"/>
  <c r="B150" i="13"/>
  <c r="C149" i="13"/>
  <c r="B149" i="13"/>
  <c r="C148" i="13"/>
  <c r="B148" i="13"/>
  <c r="C147" i="13"/>
  <c r="B147" i="13"/>
  <c r="C146" i="13"/>
  <c r="B146" i="13"/>
  <c r="C145" i="13"/>
  <c r="B145" i="13"/>
  <c r="C144" i="13"/>
  <c r="B144" i="13"/>
  <c r="C143" i="13"/>
  <c r="B143" i="13"/>
  <c r="C142" i="13"/>
  <c r="B142" i="13"/>
  <c r="C141" i="13"/>
  <c r="B141" i="13"/>
  <c r="C140" i="13"/>
  <c r="B140" i="13"/>
  <c r="C139" i="13"/>
  <c r="B139" i="13"/>
  <c r="C138" i="13"/>
  <c r="B138" i="13"/>
  <c r="C137" i="13"/>
  <c r="B137" i="13"/>
  <c r="C136" i="13"/>
  <c r="B136" i="13"/>
  <c r="C135" i="13"/>
  <c r="B135" i="13"/>
  <c r="C134" i="13"/>
  <c r="B134" i="13"/>
  <c r="C133" i="13"/>
  <c r="B133" i="13"/>
  <c r="C132" i="13"/>
  <c r="B132" i="13"/>
  <c r="C131" i="13"/>
  <c r="B131" i="13"/>
  <c r="C130" i="13"/>
  <c r="B130" i="13"/>
  <c r="C129" i="13"/>
  <c r="B129" i="13"/>
  <c r="C128" i="13"/>
  <c r="B128" i="13"/>
  <c r="C127" i="13"/>
  <c r="B127" i="13"/>
  <c r="C126" i="13"/>
  <c r="B126" i="13"/>
  <c r="C125" i="13"/>
  <c r="B125" i="13"/>
  <c r="C124" i="13"/>
  <c r="B124" i="13"/>
  <c r="C123" i="13"/>
  <c r="B123" i="13"/>
  <c r="C122" i="13"/>
  <c r="B122" i="13"/>
  <c r="C121" i="13"/>
  <c r="B121" i="13"/>
  <c r="C120" i="13"/>
  <c r="B120" i="13"/>
  <c r="C119" i="13"/>
  <c r="B119" i="13"/>
  <c r="C118" i="13"/>
  <c r="B118" i="13"/>
  <c r="C117" i="13"/>
  <c r="B117" i="13"/>
  <c r="C116" i="13"/>
  <c r="B116" i="13"/>
  <c r="C115" i="13"/>
  <c r="B115" i="13"/>
  <c r="C114" i="13"/>
  <c r="B114" i="13"/>
  <c r="C113" i="13"/>
  <c r="B113" i="13"/>
  <c r="C112" i="13"/>
  <c r="B112" i="13"/>
  <c r="C111" i="13"/>
  <c r="B111" i="13"/>
  <c r="C110" i="13"/>
  <c r="B110" i="13"/>
  <c r="C109" i="13"/>
  <c r="B109" i="13"/>
  <c r="C108" i="13"/>
  <c r="B108" i="13"/>
  <c r="C107" i="13"/>
  <c r="B107" i="13"/>
  <c r="C106" i="13"/>
  <c r="B106" i="13"/>
  <c r="C105" i="13"/>
  <c r="B105" i="13"/>
  <c r="C104" i="13"/>
  <c r="B104" i="13"/>
  <c r="C103" i="13"/>
  <c r="B103" i="13"/>
  <c r="C102" i="13"/>
  <c r="B102" i="13"/>
  <c r="C101" i="13"/>
  <c r="B101" i="13"/>
  <c r="C100" i="13"/>
  <c r="B100" i="13"/>
  <c r="C99" i="13"/>
  <c r="B99" i="13"/>
  <c r="C98" i="13"/>
  <c r="B98" i="13"/>
  <c r="C97" i="13"/>
  <c r="B97" i="13"/>
  <c r="C96" i="13"/>
  <c r="B96" i="13"/>
  <c r="C95" i="13"/>
  <c r="B95" i="13"/>
  <c r="C94" i="13"/>
  <c r="B94" i="13"/>
  <c r="C93" i="13"/>
  <c r="B93" i="13"/>
  <c r="C92" i="13"/>
  <c r="B92" i="13"/>
  <c r="C91" i="13"/>
  <c r="B91" i="13"/>
  <c r="C90" i="13"/>
  <c r="B90" i="13"/>
  <c r="C89" i="13"/>
  <c r="B89" i="13"/>
  <c r="C88" i="13"/>
  <c r="B88" i="13"/>
  <c r="C87" i="13"/>
  <c r="B87" i="13"/>
  <c r="C86" i="13"/>
  <c r="B86" i="13"/>
  <c r="C85" i="13"/>
  <c r="B85" i="13"/>
  <c r="C84" i="13"/>
  <c r="B84" i="13"/>
  <c r="C83" i="13"/>
  <c r="B83" i="13"/>
  <c r="C82" i="13"/>
  <c r="B82" i="13"/>
  <c r="C81" i="13"/>
  <c r="B81" i="13"/>
  <c r="C80" i="13"/>
  <c r="B80" i="13"/>
  <c r="C79" i="13"/>
  <c r="B79" i="13"/>
  <c r="C78" i="13"/>
  <c r="B78" i="13"/>
  <c r="C77" i="13"/>
  <c r="B77" i="13"/>
  <c r="C76" i="13"/>
  <c r="B76" i="13"/>
  <c r="C75" i="13"/>
  <c r="B75" i="13"/>
  <c r="C74" i="13"/>
  <c r="B74" i="13"/>
  <c r="C73" i="13"/>
  <c r="B73" i="13"/>
  <c r="C72" i="13"/>
  <c r="B72" i="13"/>
  <c r="C71" i="13"/>
  <c r="B71" i="13"/>
  <c r="C70" i="13"/>
  <c r="B70" i="13"/>
  <c r="C69" i="13"/>
  <c r="B69" i="13"/>
  <c r="C68" i="13"/>
  <c r="B68" i="13"/>
  <c r="C67" i="13"/>
  <c r="B67" i="13"/>
  <c r="C66" i="13"/>
  <c r="B66" i="13"/>
  <c r="C65" i="13"/>
  <c r="B65" i="13"/>
  <c r="C64" i="13"/>
  <c r="B64" i="13"/>
  <c r="C63" i="13"/>
  <c r="B63" i="13"/>
  <c r="C62" i="13"/>
  <c r="B62" i="13"/>
  <c r="C61" i="13"/>
  <c r="B61" i="13"/>
  <c r="C60" i="13"/>
  <c r="B60" i="13"/>
  <c r="C59" i="13"/>
  <c r="B59" i="13"/>
  <c r="C58" i="13"/>
  <c r="B58" i="13"/>
  <c r="C57" i="13"/>
  <c r="B57" i="13"/>
  <c r="C56" i="13"/>
  <c r="B56" i="13"/>
  <c r="C55" i="13"/>
  <c r="B55" i="13"/>
  <c r="C54" i="13"/>
  <c r="B54" i="13"/>
  <c r="C53" i="13"/>
  <c r="B53" i="13"/>
  <c r="C52" i="13"/>
  <c r="B52" i="13"/>
  <c r="C51" i="13"/>
  <c r="B51" i="13"/>
  <c r="C50" i="13"/>
  <c r="B50" i="13"/>
  <c r="C49" i="13"/>
  <c r="B49" i="13"/>
  <c r="C48" i="13"/>
  <c r="B48" i="13"/>
  <c r="C47" i="13"/>
  <c r="B47" i="13"/>
  <c r="C46" i="13"/>
  <c r="B46" i="13"/>
  <c r="C45" i="13"/>
  <c r="B45" i="13"/>
  <c r="C44" i="13"/>
  <c r="B44" i="13"/>
  <c r="C43" i="13"/>
  <c r="B43" i="13"/>
  <c r="C42" i="13"/>
  <c r="B42" i="13"/>
  <c r="C41" i="13"/>
  <c r="B41" i="13"/>
  <c r="C40" i="13"/>
  <c r="B40" i="13"/>
  <c r="C39" i="13"/>
  <c r="B39" i="13"/>
  <c r="C38" i="13"/>
  <c r="B38" i="13"/>
  <c r="C37" i="13"/>
  <c r="B37" i="13"/>
  <c r="C36" i="13"/>
  <c r="B36" i="13"/>
  <c r="C35" i="13"/>
  <c r="B35" i="13"/>
  <c r="C34" i="13"/>
  <c r="B34" i="13"/>
  <c r="C33" i="13"/>
  <c r="B33" i="13"/>
  <c r="C32" i="13"/>
  <c r="B32" i="13"/>
  <c r="C31" i="13"/>
  <c r="B31" i="13"/>
  <c r="C30" i="13"/>
  <c r="B30" i="13"/>
  <c r="C29" i="13"/>
  <c r="B29" i="13"/>
  <c r="C28" i="13"/>
  <c r="B28" i="13"/>
  <c r="C27" i="13"/>
  <c r="B27" i="13"/>
  <c r="C26" i="13"/>
  <c r="B26" i="13"/>
  <c r="C25" i="13"/>
  <c r="B25" i="13"/>
  <c r="C24" i="13"/>
  <c r="B24" i="13"/>
  <c r="C23" i="13"/>
  <c r="B23" i="13"/>
  <c r="C22" i="13"/>
  <c r="B22" i="13"/>
  <c r="C21" i="13"/>
  <c r="B21" i="13"/>
  <c r="C20" i="13"/>
  <c r="B20" i="13"/>
  <c r="C19" i="13"/>
  <c r="B19" i="13"/>
  <c r="C18" i="13"/>
  <c r="B18" i="13"/>
  <c r="C17" i="13"/>
  <c r="B17" i="13"/>
  <c r="C16" i="13"/>
  <c r="B16" i="13"/>
  <c r="C15" i="13"/>
  <c r="B15" i="13"/>
  <c r="C14" i="13"/>
  <c r="B14" i="13"/>
  <c r="C13" i="13"/>
  <c r="B13" i="13"/>
  <c r="C12" i="13"/>
  <c r="B12" i="13"/>
  <c r="C11" i="13"/>
  <c r="B11" i="13"/>
  <c r="C10" i="13"/>
  <c r="B10" i="13"/>
  <c r="C9" i="13"/>
  <c r="B9" i="13"/>
  <c r="C8" i="13"/>
  <c r="B8" i="13"/>
  <c r="C7" i="13"/>
  <c r="B7" i="13"/>
  <c r="C6" i="13"/>
  <c r="B6" i="13"/>
  <c r="C5" i="13"/>
  <c r="B5" i="13"/>
  <c r="C4" i="13"/>
  <c r="B4" i="13"/>
  <c r="A2" i="13"/>
  <c r="AE1" i="13" s="1"/>
  <c r="AH1" i="12"/>
  <c r="C208" i="12"/>
  <c r="B208" i="12"/>
  <c r="C207" i="12"/>
  <c r="B207" i="12"/>
  <c r="C206" i="12"/>
  <c r="B206" i="12"/>
  <c r="C205" i="12"/>
  <c r="B205" i="12"/>
  <c r="C204" i="12"/>
  <c r="B204" i="12"/>
  <c r="C203" i="12"/>
  <c r="B203" i="12"/>
  <c r="C202" i="12"/>
  <c r="B202" i="12"/>
  <c r="C201" i="12"/>
  <c r="B201" i="12"/>
  <c r="C200" i="12"/>
  <c r="B200" i="12"/>
  <c r="C199" i="12"/>
  <c r="B199" i="12"/>
  <c r="C198" i="12"/>
  <c r="B198" i="12"/>
  <c r="C197" i="12"/>
  <c r="B197" i="12"/>
  <c r="C196" i="12"/>
  <c r="B196" i="12"/>
  <c r="C195" i="12"/>
  <c r="B195" i="12"/>
  <c r="C194" i="12"/>
  <c r="B194" i="12"/>
  <c r="C193" i="12"/>
  <c r="B193" i="12"/>
  <c r="C192" i="12"/>
  <c r="B192" i="12"/>
  <c r="C191" i="12"/>
  <c r="B191" i="12"/>
  <c r="C190" i="12"/>
  <c r="B190" i="12"/>
  <c r="C189" i="12"/>
  <c r="B189" i="12"/>
  <c r="C188" i="12"/>
  <c r="B188" i="12"/>
  <c r="C187" i="12"/>
  <c r="B187" i="12"/>
  <c r="C186" i="12"/>
  <c r="B186" i="12"/>
  <c r="C185" i="12"/>
  <c r="B185" i="12"/>
  <c r="C184" i="12"/>
  <c r="B184" i="12"/>
  <c r="C183" i="12"/>
  <c r="B183" i="12"/>
  <c r="C182" i="12"/>
  <c r="B182" i="12"/>
  <c r="C181" i="12"/>
  <c r="B181" i="12"/>
  <c r="C180" i="12"/>
  <c r="B180" i="12"/>
  <c r="C179" i="12"/>
  <c r="B179" i="12"/>
  <c r="C178" i="12"/>
  <c r="B178" i="12"/>
  <c r="C177" i="12"/>
  <c r="B177" i="12"/>
  <c r="C176" i="12"/>
  <c r="B176" i="12"/>
  <c r="C175" i="12"/>
  <c r="B175" i="12"/>
  <c r="C174" i="12"/>
  <c r="B174" i="12"/>
  <c r="C173" i="12"/>
  <c r="B173" i="12"/>
  <c r="C172" i="12"/>
  <c r="B172" i="12"/>
  <c r="C171" i="12"/>
  <c r="B171" i="12"/>
  <c r="C170" i="12"/>
  <c r="B170" i="12"/>
  <c r="C169" i="12"/>
  <c r="B169" i="12"/>
  <c r="C168" i="12"/>
  <c r="B168" i="12"/>
  <c r="C167" i="12"/>
  <c r="B167" i="12"/>
  <c r="C166" i="12"/>
  <c r="B166" i="12"/>
  <c r="C165" i="12"/>
  <c r="B165" i="12"/>
  <c r="C164" i="12"/>
  <c r="B164" i="12"/>
  <c r="C163" i="12"/>
  <c r="B163" i="12"/>
  <c r="C162" i="12"/>
  <c r="B162" i="12"/>
  <c r="C161" i="12"/>
  <c r="B161" i="12"/>
  <c r="C160" i="12"/>
  <c r="B160" i="12"/>
  <c r="C159" i="12"/>
  <c r="B159" i="12"/>
  <c r="C158" i="12"/>
  <c r="B158" i="12"/>
  <c r="C157" i="12"/>
  <c r="B157" i="12"/>
  <c r="C156" i="12"/>
  <c r="B156" i="12"/>
  <c r="C155" i="12"/>
  <c r="B155" i="12"/>
  <c r="C154" i="12"/>
  <c r="B154" i="12"/>
  <c r="C153" i="12"/>
  <c r="B153" i="12"/>
  <c r="C152" i="12"/>
  <c r="B152" i="12"/>
  <c r="C151" i="12"/>
  <c r="B151" i="12"/>
  <c r="C150" i="12"/>
  <c r="B150" i="12"/>
  <c r="C149" i="12"/>
  <c r="B149" i="12"/>
  <c r="C148" i="12"/>
  <c r="B148" i="12"/>
  <c r="C147" i="12"/>
  <c r="B147" i="12"/>
  <c r="C146" i="12"/>
  <c r="B146" i="12"/>
  <c r="C145" i="12"/>
  <c r="B145" i="12"/>
  <c r="C144" i="12"/>
  <c r="B144" i="12"/>
  <c r="C143" i="12"/>
  <c r="B143" i="12"/>
  <c r="C142" i="12"/>
  <c r="B142" i="12"/>
  <c r="C141" i="12"/>
  <c r="B141" i="12"/>
  <c r="C140" i="12"/>
  <c r="B140" i="12"/>
  <c r="C139" i="12"/>
  <c r="B139" i="12"/>
  <c r="C138" i="12"/>
  <c r="B138" i="12"/>
  <c r="C137" i="12"/>
  <c r="B137" i="12"/>
  <c r="C136" i="12"/>
  <c r="B136" i="12"/>
  <c r="C135" i="12"/>
  <c r="B135" i="12"/>
  <c r="C134" i="12"/>
  <c r="B134" i="12"/>
  <c r="C133" i="12"/>
  <c r="B133" i="12"/>
  <c r="C132" i="12"/>
  <c r="B132" i="12"/>
  <c r="C131" i="12"/>
  <c r="B131" i="12"/>
  <c r="C130" i="12"/>
  <c r="B130" i="12"/>
  <c r="C129" i="12"/>
  <c r="B129" i="12"/>
  <c r="C128" i="12"/>
  <c r="B128" i="12"/>
  <c r="C127" i="12"/>
  <c r="B127" i="12"/>
  <c r="C126" i="12"/>
  <c r="B126" i="12"/>
  <c r="C125" i="12"/>
  <c r="B125" i="12"/>
  <c r="C124" i="12"/>
  <c r="B124" i="12"/>
  <c r="C123" i="12"/>
  <c r="B123" i="12"/>
  <c r="C122" i="12"/>
  <c r="B122" i="12"/>
  <c r="C121" i="12"/>
  <c r="B121" i="12"/>
  <c r="C120" i="12"/>
  <c r="B120" i="12"/>
  <c r="C119" i="12"/>
  <c r="B119" i="12"/>
  <c r="C118" i="12"/>
  <c r="B118" i="12"/>
  <c r="C117" i="12"/>
  <c r="B117" i="12"/>
  <c r="C116" i="12"/>
  <c r="B116" i="12"/>
  <c r="C115" i="12"/>
  <c r="B115" i="12"/>
  <c r="C114" i="12"/>
  <c r="B114" i="12"/>
  <c r="C113" i="12"/>
  <c r="B113" i="12"/>
  <c r="C112" i="12"/>
  <c r="B112" i="12"/>
  <c r="C111" i="12"/>
  <c r="B111" i="12"/>
  <c r="C110" i="12"/>
  <c r="B110" i="12"/>
  <c r="C109" i="12"/>
  <c r="B109" i="12"/>
  <c r="C108" i="12"/>
  <c r="B108" i="12"/>
  <c r="C107" i="12"/>
  <c r="B107" i="12"/>
  <c r="C106" i="12"/>
  <c r="B106" i="12"/>
  <c r="C105" i="12"/>
  <c r="B105" i="12"/>
  <c r="C104" i="12"/>
  <c r="B104" i="12"/>
  <c r="C103" i="12"/>
  <c r="B103" i="12"/>
  <c r="C102" i="12"/>
  <c r="B102" i="12"/>
  <c r="C101" i="12"/>
  <c r="B101" i="12"/>
  <c r="C100" i="12"/>
  <c r="B100" i="12"/>
  <c r="C99" i="12"/>
  <c r="B99" i="12"/>
  <c r="C98" i="12"/>
  <c r="B98" i="12"/>
  <c r="C97" i="12"/>
  <c r="B97" i="12"/>
  <c r="C96" i="12"/>
  <c r="B96" i="12"/>
  <c r="C95" i="12"/>
  <c r="B95" i="12"/>
  <c r="C94" i="12"/>
  <c r="B94" i="12"/>
  <c r="C93" i="12"/>
  <c r="B93" i="12"/>
  <c r="C92" i="12"/>
  <c r="B92" i="12"/>
  <c r="C91" i="12"/>
  <c r="B91" i="12"/>
  <c r="C90" i="12"/>
  <c r="B90" i="12"/>
  <c r="C89" i="12"/>
  <c r="B89" i="12"/>
  <c r="C88" i="12"/>
  <c r="B88" i="12"/>
  <c r="C87" i="12"/>
  <c r="B87" i="12"/>
  <c r="C86" i="12"/>
  <c r="B86" i="12"/>
  <c r="C85" i="12"/>
  <c r="B85" i="12"/>
  <c r="C84" i="12"/>
  <c r="B84" i="12"/>
  <c r="C83" i="12"/>
  <c r="B83" i="12"/>
  <c r="C82" i="12"/>
  <c r="B82" i="12"/>
  <c r="C81" i="12"/>
  <c r="B81" i="12"/>
  <c r="C80" i="12"/>
  <c r="B80" i="12"/>
  <c r="C79" i="12"/>
  <c r="B79" i="12"/>
  <c r="C78" i="12"/>
  <c r="B78" i="12"/>
  <c r="C77" i="12"/>
  <c r="B77" i="12"/>
  <c r="C76" i="12"/>
  <c r="B76" i="12"/>
  <c r="C75" i="12"/>
  <c r="B75" i="12"/>
  <c r="C74" i="12"/>
  <c r="B74" i="12"/>
  <c r="C73" i="12"/>
  <c r="B73" i="12"/>
  <c r="C72" i="12"/>
  <c r="B72" i="12"/>
  <c r="C71" i="12"/>
  <c r="B71" i="12"/>
  <c r="C70" i="12"/>
  <c r="B70" i="12"/>
  <c r="C69" i="12"/>
  <c r="B69" i="12"/>
  <c r="C68" i="12"/>
  <c r="B68" i="12"/>
  <c r="C67" i="12"/>
  <c r="B67" i="12"/>
  <c r="C66" i="12"/>
  <c r="B66" i="12"/>
  <c r="C65" i="12"/>
  <c r="B65" i="12"/>
  <c r="C64" i="12"/>
  <c r="B64" i="12"/>
  <c r="C63" i="12"/>
  <c r="B63" i="12"/>
  <c r="C62" i="12"/>
  <c r="B62" i="12"/>
  <c r="C61" i="12"/>
  <c r="B61" i="12"/>
  <c r="C60" i="12"/>
  <c r="B60" i="12"/>
  <c r="C59" i="12"/>
  <c r="B59" i="12"/>
  <c r="C58" i="12"/>
  <c r="B58" i="12"/>
  <c r="C57" i="12"/>
  <c r="B57" i="12"/>
  <c r="C56" i="12"/>
  <c r="B56" i="12"/>
  <c r="C55" i="12"/>
  <c r="B55" i="12"/>
  <c r="C54" i="12"/>
  <c r="B54" i="12"/>
  <c r="C53" i="12"/>
  <c r="B53" i="12"/>
  <c r="C52" i="12"/>
  <c r="B52" i="12"/>
  <c r="C51" i="12"/>
  <c r="B51" i="12"/>
  <c r="C50" i="12"/>
  <c r="B50" i="12"/>
  <c r="C49" i="12"/>
  <c r="B49" i="12"/>
  <c r="C48" i="12"/>
  <c r="B48" i="12"/>
  <c r="C47" i="12"/>
  <c r="B47" i="12"/>
  <c r="C46" i="12"/>
  <c r="B46" i="12"/>
  <c r="C45" i="12"/>
  <c r="B45" i="12"/>
  <c r="C44" i="12"/>
  <c r="B44" i="12"/>
  <c r="C43" i="12"/>
  <c r="B43" i="12"/>
  <c r="C42" i="12"/>
  <c r="B42" i="12"/>
  <c r="C41" i="12"/>
  <c r="B41" i="12"/>
  <c r="C40" i="12"/>
  <c r="B40" i="12"/>
  <c r="C39" i="12"/>
  <c r="B39" i="12"/>
  <c r="C38" i="12"/>
  <c r="B38" i="12"/>
  <c r="C37" i="12"/>
  <c r="B37" i="12"/>
  <c r="C36" i="12"/>
  <c r="B36" i="12"/>
  <c r="C35" i="12"/>
  <c r="B35" i="12"/>
  <c r="C34" i="12"/>
  <c r="B34" i="12"/>
  <c r="C33" i="12"/>
  <c r="B33" i="12"/>
  <c r="C32" i="12"/>
  <c r="B32" i="12"/>
  <c r="C31" i="12"/>
  <c r="B31" i="12"/>
  <c r="C30" i="12"/>
  <c r="B30" i="12"/>
  <c r="C29" i="12"/>
  <c r="B29" i="12"/>
  <c r="C28" i="12"/>
  <c r="B28" i="12"/>
  <c r="C27" i="12"/>
  <c r="B27" i="12"/>
  <c r="C26" i="12"/>
  <c r="B26" i="12"/>
  <c r="C25" i="12"/>
  <c r="B25" i="12"/>
  <c r="C24" i="12"/>
  <c r="B24" i="12"/>
  <c r="C23" i="12"/>
  <c r="B23" i="12"/>
  <c r="C22" i="12"/>
  <c r="B22" i="12"/>
  <c r="C21" i="12"/>
  <c r="B21" i="12"/>
  <c r="C20" i="12"/>
  <c r="B20" i="12"/>
  <c r="C19" i="12"/>
  <c r="B19" i="12"/>
  <c r="C18" i="12"/>
  <c r="B18" i="12"/>
  <c r="C17" i="12"/>
  <c r="B17" i="12"/>
  <c r="C16" i="12"/>
  <c r="B16" i="12"/>
  <c r="C15" i="12"/>
  <c r="B15" i="12"/>
  <c r="C14" i="12"/>
  <c r="B14" i="12"/>
  <c r="C13" i="12"/>
  <c r="B13" i="12"/>
  <c r="C12" i="12"/>
  <c r="B12" i="12"/>
  <c r="C11" i="12"/>
  <c r="B11" i="12"/>
  <c r="C10" i="12"/>
  <c r="B10" i="12"/>
  <c r="C9" i="12"/>
  <c r="B9" i="12"/>
  <c r="C8" i="12"/>
  <c r="B8" i="12"/>
  <c r="C7" i="12"/>
  <c r="B7" i="12"/>
  <c r="C6" i="12"/>
  <c r="B6" i="12"/>
  <c r="C5" i="12"/>
  <c r="B5" i="12"/>
  <c r="C4" i="12"/>
  <c r="B4" i="12"/>
  <c r="A2" i="12"/>
  <c r="AH2" i="12" s="1"/>
  <c r="X1" i="11"/>
  <c r="H1" i="11"/>
  <c r="C208" i="11"/>
  <c r="B208" i="11"/>
  <c r="C207" i="11"/>
  <c r="B207" i="11"/>
  <c r="C206" i="11"/>
  <c r="B206" i="11"/>
  <c r="C205" i="11"/>
  <c r="B205" i="11"/>
  <c r="C204" i="11"/>
  <c r="B204" i="11"/>
  <c r="C203" i="11"/>
  <c r="B203" i="11"/>
  <c r="C202" i="11"/>
  <c r="B202" i="11"/>
  <c r="C201" i="11"/>
  <c r="B201" i="11"/>
  <c r="C200" i="11"/>
  <c r="B200" i="11"/>
  <c r="C199" i="11"/>
  <c r="B199" i="11"/>
  <c r="C198" i="11"/>
  <c r="B198" i="11"/>
  <c r="C197" i="11"/>
  <c r="B197" i="11"/>
  <c r="C196" i="11"/>
  <c r="B196" i="11"/>
  <c r="C195" i="11"/>
  <c r="B195" i="11"/>
  <c r="C194" i="11"/>
  <c r="B194" i="11"/>
  <c r="C193" i="11"/>
  <c r="B193" i="11"/>
  <c r="C192" i="11"/>
  <c r="B192" i="11"/>
  <c r="C191" i="11"/>
  <c r="B191" i="11"/>
  <c r="C190" i="11"/>
  <c r="B190" i="11"/>
  <c r="C189" i="11"/>
  <c r="B189" i="11"/>
  <c r="C188" i="11"/>
  <c r="B188" i="11"/>
  <c r="C187" i="11"/>
  <c r="B187" i="11"/>
  <c r="C186" i="11"/>
  <c r="B186" i="11"/>
  <c r="C185" i="11"/>
  <c r="B185" i="11"/>
  <c r="C184" i="11"/>
  <c r="B184" i="11"/>
  <c r="C183" i="11"/>
  <c r="B183" i="11"/>
  <c r="C182" i="11"/>
  <c r="B182" i="11"/>
  <c r="C181" i="11"/>
  <c r="B181" i="11"/>
  <c r="C180" i="11"/>
  <c r="B180" i="11"/>
  <c r="C179" i="11"/>
  <c r="B179" i="11"/>
  <c r="C178" i="11"/>
  <c r="B178" i="11"/>
  <c r="C177" i="11"/>
  <c r="B177" i="11"/>
  <c r="C176" i="11"/>
  <c r="B176" i="11"/>
  <c r="C175" i="11"/>
  <c r="B175" i="11"/>
  <c r="C174" i="11"/>
  <c r="B174" i="11"/>
  <c r="C173" i="11"/>
  <c r="B173" i="11"/>
  <c r="C172" i="11"/>
  <c r="B172" i="11"/>
  <c r="C171" i="11"/>
  <c r="B171" i="11"/>
  <c r="C170" i="11"/>
  <c r="B170" i="11"/>
  <c r="C169" i="11"/>
  <c r="B169" i="11"/>
  <c r="C168" i="11"/>
  <c r="B168" i="11"/>
  <c r="C167" i="11"/>
  <c r="B167" i="11"/>
  <c r="C166" i="11"/>
  <c r="B166" i="11"/>
  <c r="C165" i="11"/>
  <c r="B165" i="11"/>
  <c r="C164" i="11"/>
  <c r="B164" i="11"/>
  <c r="C163" i="11"/>
  <c r="B163" i="11"/>
  <c r="C162" i="11"/>
  <c r="B162" i="11"/>
  <c r="C161" i="11"/>
  <c r="B161" i="11"/>
  <c r="C160" i="11"/>
  <c r="B160" i="11"/>
  <c r="C159" i="11"/>
  <c r="B159" i="11"/>
  <c r="C158" i="11"/>
  <c r="B158" i="11"/>
  <c r="C157" i="11"/>
  <c r="B157" i="11"/>
  <c r="C156" i="11"/>
  <c r="B156" i="11"/>
  <c r="C155" i="11"/>
  <c r="B155" i="11"/>
  <c r="C154" i="11"/>
  <c r="B154" i="11"/>
  <c r="C153" i="11"/>
  <c r="B153" i="11"/>
  <c r="C152" i="11"/>
  <c r="B152" i="11"/>
  <c r="C151" i="11"/>
  <c r="B151" i="11"/>
  <c r="C150" i="11"/>
  <c r="B150" i="11"/>
  <c r="C149" i="11"/>
  <c r="B149" i="11"/>
  <c r="C148" i="11"/>
  <c r="B148" i="11"/>
  <c r="C147" i="11"/>
  <c r="B147" i="11"/>
  <c r="C146" i="11"/>
  <c r="B146" i="11"/>
  <c r="C145" i="11"/>
  <c r="B145" i="11"/>
  <c r="C144" i="11"/>
  <c r="B144" i="11"/>
  <c r="C143" i="11"/>
  <c r="B143" i="11"/>
  <c r="C142" i="11"/>
  <c r="B142" i="11"/>
  <c r="C141" i="11"/>
  <c r="B141" i="11"/>
  <c r="C140" i="11"/>
  <c r="B140" i="11"/>
  <c r="C139" i="11"/>
  <c r="B139" i="11"/>
  <c r="C138" i="11"/>
  <c r="B138" i="11"/>
  <c r="C137" i="11"/>
  <c r="B137" i="11"/>
  <c r="C136" i="11"/>
  <c r="B136" i="11"/>
  <c r="C135" i="11"/>
  <c r="B135" i="11"/>
  <c r="C134" i="11"/>
  <c r="B134" i="11"/>
  <c r="C133" i="11"/>
  <c r="B133" i="11"/>
  <c r="C132" i="11"/>
  <c r="B132" i="11"/>
  <c r="C131" i="11"/>
  <c r="B131" i="11"/>
  <c r="C130" i="11"/>
  <c r="B130" i="11"/>
  <c r="C129" i="11"/>
  <c r="B129" i="11"/>
  <c r="C128" i="11"/>
  <c r="B128" i="11"/>
  <c r="C127" i="11"/>
  <c r="B127" i="11"/>
  <c r="C126" i="11"/>
  <c r="B126" i="11"/>
  <c r="C125" i="11"/>
  <c r="B125" i="11"/>
  <c r="C124" i="11"/>
  <c r="B124" i="11"/>
  <c r="C123" i="11"/>
  <c r="B123" i="11"/>
  <c r="C122" i="11"/>
  <c r="B122" i="11"/>
  <c r="C121" i="11"/>
  <c r="B121" i="11"/>
  <c r="C120" i="11"/>
  <c r="B120" i="11"/>
  <c r="C119" i="11"/>
  <c r="B119" i="11"/>
  <c r="C118" i="11"/>
  <c r="B118" i="11"/>
  <c r="C117" i="11"/>
  <c r="B117" i="11"/>
  <c r="C116" i="11"/>
  <c r="B116" i="11"/>
  <c r="C115" i="11"/>
  <c r="B115" i="11"/>
  <c r="C114" i="11"/>
  <c r="B114" i="11"/>
  <c r="C113" i="11"/>
  <c r="B113" i="11"/>
  <c r="C112" i="11"/>
  <c r="B112" i="11"/>
  <c r="C111" i="11"/>
  <c r="B111" i="11"/>
  <c r="C110" i="11"/>
  <c r="B110" i="11"/>
  <c r="C109" i="11"/>
  <c r="B109" i="11"/>
  <c r="C108" i="11"/>
  <c r="B108" i="11"/>
  <c r="C107" i="11"/>
  <c r="B107" i="11"/>
  <c r="C106" i="11"/>
  <c r="B106" i="11"/>
  <c r="C105" i="11"/>
  <c r="B105" i="11"/>
  <c r="C104" i="11"/>
  <c r="B104" i="11"/>
  <c r="C103" i="11"/>
  <c r="B103" i="11"/>
  <c r="C102" i="11"/>
  <c r="B102" i="11"/>
  <c r="C101" i="11"/>
  <c r="B101" i="11"/>
  <c r="C100" i="11"/>
  <c r="B100" i="11"/>
  <c r="C99" i="11"/>
  <c r="B99" i="11"/>
  <c r="C98" i="11"/>
  <c r="B98" i="11"/>
  <c r="C97" i="11"/>
  <c r="B97" i="11"/>
  <c r="C96" i="11"/>
  <c r="B96" i="11"/>
  <c r="C95" i="11"/>
  <c r="B95" i="11"/>
  <c r="C94" i="11"/>
  <c r="B94" i="11"/>
  <c r="C93" i="11"/>
  <c r="B93" i="11"/>
  <c r="C92" i="11"/>
  <c r="B92" i="11"/>
  <c r="C91" i="11"/>
  <c r="B91" i="11"/>
  <c r="C90" i="11"/>
  <c r="B90" i="11"/>
  <c r="C89" i="11"/>
  <c r="B89" i="11"/>
  <c r="C88" i="11"/>
  <c r="B88" i="11"/>
  <c r="C87" i="11"/>
  <c r="B87" i="11"/>
  <c r="C86" i="11"/>
  <c r="B86" i="11"/>
  <c r="C85" i="11"/>
  <c r="B85" i="11"/>
  <c r="C84" i="11"/>
  <c r="B84" i="11"/>
  <c r="C83" i="11"/>
  <c r="B83" i="11"/>
  <c r="C82" i="11"/>
  <c r="B82" i="11"/>
  <c r="C81" i="11"/>
  <c r="B81" i="11"/>
  <c r="C80" i="11"/>
  <c r="B80" i="11"/>
  <c r="C79" i="11"/>
  <c r="B79" i="11"/>
  <c r="C78" i="11"/>
  <c r="B78" i="11"/>
  <c r="C77" i="11"/>
  <c r="B77" i="11"/>
  <c r="C76" i="11"/>
  <c r="B76" i="11"/>
  <c r="C75" i="11"/>
  <c r="B75" i="11"/>
  <c r="C74" i="11"/>
  <c r="B74" i="11"/>
  <c r="C73" i="11"/>
  <c r="B73" i="11"/>
  <c r="C72" i="11"/>
  <c r="B72" i="11"/>
  <c r="C71" i="11"/>
  <c r="B71" i="11"/>
  <c r="C70" i="11"/>
  <c r="B70" i="11"/>
  <c r="C69" i="11"/>
  <c r="B69" i="11"/>
  <c r="C68" i="11"/>
  <c r="B68" i="11"/>
  <c r="C67" i="11"/>
  <c r="B67" i="11"/>
  <c r="C66" i="11"/>
  <c r="B66" i="11"/>
  <c r="C65" i="11"/>
  <c r="B65" i="11"/>
  <c r="C64" i="11"/>
  <c r="B64" i="11"/>
  <c r="C63" i="11"/>
  <c r="B63" i="11"/>
  <c r="C62" i="11"/>
  <c r="B62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5" i="11"/>
  <c r="B55" i="11"/>
  <c r="C54" i="11"/>
  <c r="B54" i="11"/>
  <c r="C53" i="11"/>
  <c r="B53" i="11"/>
  <c r="C52" i="11"/>
  <c r="B52" i="11"/>
  <c r="C51" i="11"/>
  <c r="B51" i="11"/>
  <c r="C50" i="11"/>
  <c r="B50" i="11"/>
  <c r="C49" i="11"/>
  <c r="B49" i="11"/>
  <c r="C48" i="11"/>
  <c r="B48" i="11"/>
  <c r="C47" i="11"/>
  <c r="B47" i="11"/>
  <c r="C46" i="11"/>
  <c r="B46" i="11"/>
  <c r="C45" i="11"/>
  <c r="B45" i="11"/>
  <c r="C44" i="11"/>
  <c r="B44" i="11"/>
  <c r="C43" i="11"/>
  <c r="B43" i="11"/>
  <c r="C42" i="11"/>
  <c r="B42" i="11"/>
  <c r="C41" i="11"/>
  <c r="B41" i="11"/>
  <c r="C40" i="11"/>
  <c r="B40" i="11"/>
  <c r="C39" i="11"/>
  <c r="B39" i="11"/>
  <c r="C38" i="11"/>
  <c r="B38" i="11"/>
  <c r="C37" i="11"/>
  <c r="B37" i="11"/>
  <c r="C36" i="11"/>
  <c r="B36" i="11"/>
  <c r="C35" i="11"/>
  <c r="B35" i="11"/>
  <c r="C34" i="11"/>
  <c r="B34" i="11"/>
  <c r="C33" i="11"/>
  <c r="B33" i="11"/>
  <c r="C32" i="11"/>
  <c r="B32" i="11"/>
  <c r="C31" i="11"/>
  <c r="B31" i="11"/>
  <c r="C30" i="11"/>
  <c r="B30" i="11"/>
  <c r="C29" i="11"/>
  <c r="B29" i="11"/>
  <c r="C28" i="11"/>
  <c r="B28" i="11"/>
  <c r="C27" i="11"/>
  <c r="B27" i="11"/>
  <c r="C26" i="11"/>
  <c r="B26" i="11"/>
  <c r="C25" i="11"/>
  <c r="B25" i="11"/>
  <c r="C24" i="11"/>
  <c r="B24" i="11"/>
  <c r="C23" i="11"/>
  <c r="B23" i="11"/>
  <c r="C22" i="11"/>
  <c r="B22" i="11"/>
  <c r="C21" i="11"/>
  <c r="B21" i="11"/>
  <c r="C20" i="11"/>
  <c r="B20" i="11"/>
  <c r="C19" i="11"/>
  <c r="B19" i="11"/>
  <c r="C18" i="11"/>
  <c r="B18" i="11"/>
  <c r="C17" i="11"/>
  <c r="B17" i="11"/>
  <c r="C16" i="11"/>
  <c r="B16" i="11"/>
  <c r="C15" i="11"/>
  <c r="B15" i="11"/>
  <c r="C14" i="11"/>
  <c r="B14" i="11"/>
  <c r="C13" i="11"/>
  <c r="B13" i="11"/>
  <c r="C12" i="11"/>
  <c r="B12" i="11"/>
  <c r="C11" i="11"/>
  <c r="B11" i="11"/>
  <c r="C10" i="11"/>
  <c r="B10" i="11"/>
  <c r="C9" i="11"/>
  <c r="B9" i="11"/>
  <c r="C8" i="11"/>
  <c r="B8" i="11"/>
  <c r="C7" i="11"/>
  <c r="B7" i="11"/>
  <c r="C6" i="11"/>
  <c r="B6" i="11"/>
  <c r="C5" i="11"/>
  <c r="B5" i="11"/>
  <c r="C4" i="11"/>
  <c r="B4" i="11"/>
  <c r="A2" i="11"/>
  <c r="AH1" i="11" s="1"/>
  <c r="AC1" i="10"/>
  <c r="U1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C185" i="10"/>
  <c r="B185" i="10"/>
  <c r="C184" i="10"/>
  <c r="B184" i="10"/>
  <c r="C183" i="10"/>
  <c r="B183" i="10"/>
  <c r="C182" i="10"/>
  <c r="B182" i="10"/>
  <c r="C181" i="10"/>
  <c r="B181" i="10"/>
  <c r="C180" i="10"/>
  <c r="B180" i="10"/>
  <c r="C179" i="10"/>
  <c r="B179" i="10"/>
  <c r="C178" i="10"/>
  <c r="B178" i="10"/>
  <c r="C177" i="10"/>
  <c r="B177" i="10"/>
  <c r="C176" i="10"/>
  <c r="B176" i="10"/>
  <c r="C175" i="10"/>
  <c r="B175" i="10"/>
  <c r="C174" i="10"/>
  <c r="B174" i="10"/>
  <c r="C173" i="10"/>
  <c r="B173" i="10"/>
  <c r="C172" i="10"/>
  <c r="B172" i="10"/>
  <c r="C171" i="10"/>
  <c r="B171" i="10"/>
  <c r="C170" i="10"/>
  <c r="B170" i="10"/>
  <c r="C169" i="10"/>
  <c r="B169" i="10"/>
  <c r="C168" i="10"/>
  <c r="B168" i="10"/>
  <c r="C167" i="10"/>
  <c r="B167" i="10"/>
  <c r="C166" i="10"/>
  <c r="B166" i="10"/>
  <c r="C165" i="10"/>
  <c r="B165" i="10"/>
  <c r="C164" i="10"/>
  <c r="B164" i="10"/>
  <c r="C163" i="10"/>
  <c r="B163" i="10"/>
  <c r="C162" i="10"/>
  <c r="B162" i="10"/>
  <c r="C161" i="10"/>
  <c r="B161" i="10"/>
  <c r="C160" i="10"/>
  <c r="B160" i="10"/>
  <c r="C159" i="10"/>
  <c r="B159" i="10"/>
  <c r="C158" i="10"/>
  <c r="B158" i="10"/>
  <c r="C157" i="10"/>
  <c r="B157" i="10"/>
  <c r="C156" i="10"/>
  <c r="B156" i="10"/>
  <c r="C155" i="10"/>
  <c r="B155" i="10"/>
  <c r="C154" i="10"/>
  <c r="B154" i="10"/>
  <c r="C153" i="10"/>
  <c r="B153" i="10"/>
  <c r="C152" i="10"/>
  <c r="B152" i="10"/>
  <c r="C151" i="10"/>
  <c r="B151" i="10"/>
  <c r="C150" i="10"/>
  <c r="B150" i="10"/>
  <c r="C149" i="10"/>
  <c r="B149" i="10"/>
  <c r="C148" i="10"/>
  <c r="B148" i="10"/>
  <c r="C147" i="10"/>
  <c r="B147" i="10"/>
  <c r="C146" i="10"/>
  <c r="B146" i="10"/>
  <c r="C145" i="10"/>
  <c r="B145" i="10"/>
  <c r="C144" i="10"/>
  <c r="B144" i="10"/>
  <c r="C143" i="10"/>
  <c r="B143" i="10"/>
  <c r="C142" i="10"/>
  <c r="B142" i="10"/>
  <c r="C141" i="10"/>
  <c r="B141" i="10"/>
  <c r="C140" i="10"/>
  <c r="B140" i="10"/>
  <c r="C139" i="10"/>
  <c r="B139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C129" i="10"/>
  <c r="B129" i="10"/>
  <c r="C128" i="10"/>
  <c r="B128" i="10"/>
  <c r="C127" i="10"/>
  <c r="B127" i="10"/>
  <c r="C126" i="10"/>
  <c r="B126" i="10"/>
  <c r="C125" i="10"/>
  <c r="B125" i="10"/>
  <c r="C124" i="10"/>
  <c r="B124" i="10"/>
  <c r="C123" i="10"/>
  <c r="B123" i="10"/>
  <c r="C122" i="10"/>
  <c r="B122" i="10"/>
  <c r="C121" i="10"/>
  <c r="B121" i="10"/>
  <c r="C120" i="10"/>
  <c r="B120" i="10"/>
  <c r="C119" i="10"/>
  <c r="B119" i="10"/>
  <c r="C118" i="10"/>
  <c r="B118" i="10"/>
  <c r="C117" i="10"/>
  <c r="B117" i="10"/>
  <c r="C116" i="10"/>
  <c r="B116" i="10"/>
  <c r="C115" i="10"/>
  <c r="B115" i="10"/>
  <c r="C114" i="10"/>
  <c r="B114" i="10"/>
  <c r="C113" i="10"/>
  <c r="B113" i="10"/>
  <c r="C112" i="10"/>
  <c r="B112" i="10"/>
  <c r="C111" i="10"/>
  <c r="B111" i="10"/>
  <c r="C110" i="10"/>
  <c r="B110" i="10"/>
  <c r="C109" i="10"/>
  <c r="B109" i="10"/>
  <c r="C108" i="10"/>
  <c r="B108" i="10"/>
  <c r="C107" i="10"/>
  <c r="B107" i="10"/>
  <c r="C106" i="10"/>
  <c r="B106" i="10"/>
  <c r="C105" i="10"/>
  <c r="B105" i="10"/>
  <c r="C104" i="10"/>
  <c r="B104" i="10"/>
  <c r="C103" i="10"/>
  <c r="B103" i="10"/>
  <c r="C102" i="10"/>
  <c r="B102" i="10"/>
  <c r="C101" i="10"/>
  <c r="B101" i="10"/>
  <c r="C100" i="10"/>
  <c r="B100" i="10"/>
  <c r="C99" i="10"/>
  <c r="B99" i="10"/>
  <c r="C98" i="10"/>
  <c r="B98" i="10"/>
  <c r="C97" i="10"/>
  <c r="B97" i="10"/>
  <c r="C96" i="10"/>
  <c r="B96" i="10"/>
  <c r="C95" i="10"/>
  <c r="B95" i="10"/>
  <c r="C94" i="10"/>
  <c r="B94" i="10"/>
  <c r="C93" i="10"/>
  <c r="B93" i="10"/>
  <c r="C92" i="10"/>
  <c r="B92" i="10"/>
  <c r="C91" i="10"/>
  <c r="B91" i="10"/>
  <c r="C90" i="10"/>
  <c r="B90" i="10"/>
  <c r="C89" i="10"/>
  <c r="B89" i="10"/>
  <c r="C88" i="10"/>
  <c r="B88" i="10"/>
  <c r="C87" i="10"/>
  <c r="B87" i="10"/>
  <c r="C86" i="10"/>
  <c r="B86" i="10"/>
  <c r="C85" i="10"/>
  <c r="B85" i="10"/>
  <c r="C84" i="10"/>
  <c r="B84" i="10"/>
  <c r="C83" i="10"/>
  <c r="B83" i="10"/>
  <c r="C82" i="10"/>
  <c r="B82" i="10"/>
  <c r="C81" i="10"/>
  <c r="B81" i="10"/>
  <c r="C80" i="10"/>
  <c r="B80" i="10"/>
  <c r="C79" i="10"/>
  <c r="B79" i="10"/>
  <c r="C78" i="10"/>
  <c r="B78" i="10"/>
  <c r="C77" i="10"/>
  <c r="B77" i="10"/>
  <c r="C76" i="10"/>
  <c r="B76" i="10"/>
  <c r="C75" i="10"/>
  <c r="B75" i="10"/>
  <c r="C74" i="10"/>
  <c r="B74" i="10"/>
  <c r="C73" i="10"/>
  <c r="B73" i="10"/>
  <c r="C72" i="10"/>
  <c r="B72" i="10"/>
  <c r="C71" i="10"/>
  <c r="B71" i="10"/>
  <c r="C70" i="10"/>
  <c r="B70" i="10"/>
  <c r="C69" i="10"/>
  <c r="B69" i="10"/>
  <c r="C68" i="10"/>
  <c r="B68" i="10"/>
  <c r="C67" i="10"/>
  <c r="B67" i="10"/>
  <c r="C66" i="10"/>
  <c r="B66" i="10"/>
  <c r="C65" i="10"/>
  <c r="B65" i="10"/>
  <c r="C64" i="10"/>
  <c r="B64" i="10"/>
  <c r="C63" i="10"/>
  <c r="B63" i="10"/>
  <c r="C62" i="10"/>
  <c r="B62" i="10"/>
  <c r="C61" i="10"/>
  <c r="B61" i="10"/>
  <c r="C60" i="10"/>
  <c r="B60" i="10"/>
  <c r="C59" i="10"/>
  <c r="B59" i="10"/>
  <c r="C58" i="10"/>
  <c r="B58" i="10"/>
  <c r="C57" i="10"/>
  <c r="B57" i="10"/>
  <c r="C56" i="10"/>
  <c r="B56" i="10"/>
  <c r="C55" i="10"/>
  <c r="B55" i="10"/>
  <c r="C54" i="10"/>
  <c r="B54" i="10"/>
  <c r="C53" i="10"/>
  <c r="B53" i="10"/>
  <c r="C52" i="10"/>
  <c r="B52" i="10"/>
  <c r="C51" i="10"/>
  <c r="B51" i="10"/>
  <c r="C50" i="10"/>
  <c r="B50" i="10"/>
  <c r="C49" i="10"/>
  <c r="B49" i="10"/>
  <c r="C48" i="10"/>
  <c r="B48" i="10"/>
  <c r="C47" i="10"/>
  <c r="B47" i="10"/>
  <c r="C46" i="10"/>
  <c r="B46" i="10"/>
  <c r="C45" i="10"/>
  <c r="B45" i="10"/>
  <c r="C44" i="10"/>
  <c r="B44" i="10"/>
  <c r="C43" i="10"/>
  <c r="B43" i="10"/>
  <c r="C42" i="10"/>
  <c r="B42" i="10"/>
  <c r="C41" i="10"/>
  <c r="B41" i="10"/>
  <c r="C40" i="10"/>
  <c r="B40" i="10"/>
  <c r="C39" i="10"/>
  <c r="B39" i="10"/>
  <c r="C38" i="10"/>
  <c r="B38" i="10"/>
  <c r="C37" i="10"/>
  <c r="B37" i="10"/>
  <c r="C36" i="10"/>
  <c r="B36" i="10"/>
  <c r="C35" i="10"/>
  <c r="B35" i="10"/>
  <c r="C34" i="10"/>
  <c r="B34" i="10"/>
  <c r="C33" i="10"/>
  <c r="B33" i="10"/>
  <c r="C32" i="10"/>
  <c r="B32" i="10"/>
  <c r="C31" i="10"/>
  <c r="B31" i="10"/>
  <c r="C30" i="10"/>
  <c r="B30" i="10"/>
  <c r="C29" i="10"/>
  <c r="B29" i="10"/>
  <c r="C28" i="10"/>
  <c r="B28" i="10"/>
  <c r="C27" i="10"/>
  <c r="B27" i="10"/>
  <c r="C26" i="10"/>
  <c r="B26" i="10"/>
  <c r="C25" i="10"/>
  <c r="B25" i="10"/>
  <c r="C24" i="10"/>
  <c r="B24" i="10"/>
  <c r="C23" i="10"/>
  <c r="B23" i="10"/>
  <c r="C22" i="10"/>
  <c r="B22" i="10"/>
  <c r="C21" i="10"/>
  <c r="B21" i="10"/>
  <c r="C20" i="10"/>
  <c r="B20" i="10"/>
  <c r="C19" i="10"/>
  <c r="B19" i="10"/>
  <c r="C18" i="10"/>
  <c r="B18" i="10"/>
  <c r="C17" i="10"/>
  <c r="B17" i="10"/>
  <c r="C16" i="10"/>
  <c r="B16" i="10"/>
  <c r="C15" i="10"/>
  <c r="B15" i="10"/>
  <c r="C14" i="10"/>
  <c r="B14" i="10"/>
  <c r="C13" i="10"/>
  <c r="B13" i="10"/>
  <c r="C12" i="10"/>
  <c r="B12" i="10"/>
  <c r="C11" i="10"/>
  <c r="B11" i="10"/>
  <c r="C10" i="10"/>
  <c r="B10" i="10"/>
  <c r="C9" i="10"/>
  <c r="B9" i="10"/>
  <c r="C8" i="10"/>
  <c r="B8" i="10"/>
  <c r="C7" i="10"/>
  <c r="B7" i="10"/>
  <c r="C6" i="10"/>
  <c r="B6" i="10"/>
  <c r="C5" i="10"/>
  <c r="B5" i="10"/>
  <c r="C4" i="10"/>
  <c r="B4" i="10"/>
  <c r="A2" i="10"/>
  <c r="AG1" i="10" s="1"/>
  <c r="AH1" i="9"/>
  <c r="C208" i="9"/>
  <c r="B208" i="9"/>
  <c r="C207" i="9"/>
  <c r="B207" i="9"/>
  <c r="C206" i="9"/>
  <c r="B206" i="9"/>
  <c r="C205" i="9"/>
  <c r="B205" i="9"/>
  <c r="C204" i="9"/>
  <c r="B204" i="9"/>
  <c r="C203" i="9"/>
  <c r="B203" i="9"/>
  <c r="C202" i="9"/>
  <c r="B202" i="9"/>
  <c r="C201" i="9"/>
  <c r="B201" i="9"/>
  <c r="C200" i="9"/>
  <c r="B200" i="9"/>
  <c r="C199" i="9"/>
  <c r="B199" i="9"/>
  <c r="C198" i="9"/>
  <c r="B198" i="9"/>
  <c r="C197" i="9"/>
  <c r="B197" i="9"/>
  <c r="C196" i="9"/>
  <c r="B196" i="9"/>
  <c r="C195" i="9"/>
  <c r="B195" i="9"/>
  <c r="C194" i="9"/>
  <c r="B194" i="9"/>
  <c r="C193" i="9"/>
  <c r="B193" i="9"/>
  <c r="C192" i="9"/>
  <c r="B192" i="9"/>
  <c r="C191" i="9"/>
  <c r="B191" i="9"/>
  <c r="C190" i="9"/>
  <c r="B190" i="9"/>
  <c r="C189" i="9"/>
  <c r="B189" i="9"/>
  <c r="C188" i="9"/>
  <c r="B188" i="9"/>
  <c r="C187" i="9"/>
  <c r="B187" i="9"/>
  <c r="C186" i="9"/>
  <c r="B186" i="9"/>
  <c r="C185" i="9"/>
  <c r="B185" i="9"/>
  <c r="C184" i="9"/>
  <c r="B184" i="9"/>
  <c r="C183" i="9"/>
  <c r="B183" i="9"/>
  <c r="C182" i="9"/>
  <c r="B182" i="9"/>
  <c r="C181" i="9"/>
  <c r="B181" i="9"/>
  <c r="C180" i="9"/>
  <c r="B180" i="9"/>
  <c r="C179" i="9"/>
  <c r="B179" i="9"/>
  <c r="C178" i="9"/>
  <c r="B178" i="9"/>
  <c r="C177" i="9"/>
  <c r="B177" i="9"/>
  <c r="C176" i="9"/>
  <c r="B176" i="9"/>
  <c r="C175" i="9"/>
  <c r="B175" i="9"/>
  <c r="C174" i="9"/>
  <c r="B174" i="9"/>
  <c r="C173" i="9"/>
  <c r="B173" i="9"/>
  <c r="C172" i="9"/>
  <c r="B172" i="9"/>
  <c r="C171" i="9"/>
  <c r="B171" i="9"/>
  <c r="C170" i="9"/>
  <c r="B170" i="9"/>
  <c r="C169" i="9"/>
  <c r="B169" i="9"/>
  <c r="C168" i="9"/>
  <c r="B168" i="9"/>
  <c r="C167" i="9"/>
  <c r="B167" i="9"/>
  <c r="C166" i="9"/>
  <c r="B166" i="9"/>
  <c r="C165" i="9"/>
  <c r="B165" i="9"/>
  <c r="C164" i="9"/>
  <c r="B164" i="9"/>
  <c r="C163" i="9"/>
  <c r="B163" i="9"/>
  <c r="C162" i="9"/>
  <c r="B162" i="9"/>
  <c r="C161" i="9"/>
  <c r="B161" i="9"/>
  <c r="C160" i="9"/>
  <c r="B160" i="9"/>
  <c r="C159" i="9"/>
  <c r="B159" i="9"/>
  <c r="C158" i="9"/>
  <c r="B158" i="9"/>
  <c r="C157" i="9"/>
  <c r="B157" i="9"/>
  <c r="C156" i="9"/>
  <c r="B156" i="9"/>
  <c r="C155" i="9"/>
  <c r="B155" i="9"/>
  <c r="C154" i="9"/>
  <c r="B154" i="9"/>
  <c r="C153" i="9"/>
  <c r="B153" i="9"/>
  <c r="C152" i="9"/>
  <c r="B152" i="9"/>
  <c r="C151" i="9"/>
  <c r="B151" i="9"/>
  <c r="C150" i="9"/>
  <c r="B150" i="9"/>
  <c r="C149" i="9"/>
  <c r="B149" i="9"/>
  <c r="C148" i="9"/>
  <c r="B148" i="9"/>
  <c r="C147" i="9"/>
  <c r="B147" i="9"/>
  <c r="C146" i="9"/>
  <c r="B146" i="9"/>
  <c r="C145" i="9"/>
  <c r="B145" i="9"/>
  <c r="C144" i="9"/>
  <c r="B144" i="9"/>
  <c r="C143" i="9"/>
  <c r="B143" i="9"/>
  <c r="C142" i="9"/>
  <c r="B142" i="9"/>
  <c r="C141" i="9"/>
  <c r="B141" i="9"/>
  <c r="C140" i="9"/>
  <c r="B140" i="9"/>
  <c r="C139" i="9"/>
  <c r="B139" i="9"/>
  <c r="C138" i="9"/>
  <c r="B138" i="9"/>
  <c r="C137" i="9"/>
  <c r="B137" i="9"/>
  <c r="C136" i="9"/>
  <c r="B136" i="9"/>
  <c r="C135" i="9"/>
  <c r="B135" i="9"/>
  <c r="C134" i="9"/>
  <c r="B134" i="9"/>
  <c r="C133" i="9"/>
  <c r="B133" i="9"/>
  <c r="C132" i="9"/>
  <c r="B132" i="9"/>
  <c r="C131" i="9"/>
  <c r="B131" i="9"/>
  <c r="C130" i="9"/>
  <c r="B130" i="9"/>
  <c r="C129" i="9"/>
  <c r="B129" i="9"/>
  <c r="C128" i="9"/>
  <c r="B128" i="9"/>
  <c r="C127" i="9"/>
  <c r="B127" i="9"/>
  <c r="C126" i="9"/>
  <c r="B126" i="9"/>
  <c r="C125" i="9"/>
  <c r="B125" i="9"/>
  <c r="C124" i="9"/>
  <c r="B124" i="9"/>
  <c r="C123" i="9"/>
  <c r="B123" i="9"/>
  <c r="C122" i="9"/>
  <c r="B122" i="9"/>
  <c r="C121" i="9"/>
  <c r="B121" i="9"/>
  <c r="C120" i="9"/>
  <c r="B120" i="9"/>
  <c r="C119" i="9"/>
  <c r="B119" i="9"/>
  <c r="C118" i="9"/>
  <c r="B118" i="9"/>
  <c r="C117" i="9"/>
  <c r="B117" i="9"/>
  <c r="C116" i="9"/>
  <c r="B116" i="9"/>
  <c r="C115" i="9"/>
  <c r="B115" i="9"/>
  <c r="C114" i="9"/>
  <c r="B114" i="9"/>
  <c r="C113" i="9"/>
  <c r="B113" i="9"/>
  <c r="C112" i="9"/>
  <c r="B112" i="9"/>
  <c r="C111" i="9"/>
  <c r="B111" i="9"/>
  <c r="C110" i="9"/>
  <c r="B110" i="9"/>
  <c r="C109" i="9"/>
  <c r="B109" i="9"/>
  <c r="C108" i="9"/>
  <c r="B108" i="9"/>
  <c r="C107" i="9"/>
  <c r="B107" i="9"/>
  <c r="C106" i="9"/>
  <c r="B106" i="9"/>
  <c r="C105" i="9"/>
  <c r="B105" i="9"/>
  <c r="C104" i="9"/>
  <c r="B104" i="9"/>
  <c r="C103" i="9"/>
  <c r="B103" i="9"/>
  <c r="C102" i="9"/>
  <c r="B102" i="9"/>
  <c r="C101" i="9"/>
  <c r="B101" i="9"/>
  <c r="C100" i="9"/>
  <c r="B100" i="9"/>
  <c r="C99" i="9"/>
  <c r="B99" i="9"/>
  <c r="C98" i="9"/>
  <c r="B98" i="9"/>
  <c r="C97" i="9"/>
  <c r="B97" i="9"/>
  <c r="C96" i="9"/>
  <c r="B96" i="9"/>
  <c r="C95" i="9"/>
  <c r="B95" i="9"/>
  <c r="C94" i="9"/>
  <c r="B94" i="9"/>
  <c r="C93" i="9"/>
  <c r="B93" i="9"/>
  <c r="C92" i="9"/>
  <c r="B92" i="9"/>
  <c r="C91" i="9"/>
  <c r="B91" i="9"/>
  <c r="C90" i="9"/>
  <c r="B90" i="9"/>
  <c r="C89" i="9"/>
  <c r="B89" i="9"/>
  <c r="C88" i="9"/>
  <c r="B88" i="9"/>
  <c r="C87" i="9"/>
  <c r="B87" i="9"/>
  <c r="C86" i="9"/>
  <c r="B86" i="9"/>
  <c r="C85" i="9"/>
  <c r="B85" i="9"/>
  <c r="C84" i="9"/>
  <c r="B84" i="9"/>
  <c r="C83" i="9"/>
  <c r="B83" i="9"/>
  <c r="C82" i="9"/>
  <c r="B82" i="9"/>
  <c r="C81" i="9"/>
  <c r="B81" i="9"/>
  <c r="C80" i="9"/>
  <c r="B80" i="9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B73" i="9"/>
  <c r="C72" i="9"/>
  <c r="B72" i="9"/>
  <c r="C71" i="9"/>
  <c r="B71" i="9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C6" i="9"/>
  <c r="B6" i="9"/>
  <c r="C5" i="9"/>
  <c r="B5" i="9"/>
  <c r="C4" i="9"/>
  <c r="B4" i="9"/>
  <c r="A2" i="9"/>
  <c r="AB1" i="9" s="1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A2" i="8"/>
  <c r="AE1" i="8" s="1"/>
  <c r="AE2" i="8" s="1"/>
  <c r="AH1" i="7"/>
  <c r="C208" i="7"/>
  <c r="B208" i="7"/>
  <c r="C207" i="7"/>
  <c r="B207" i="7"/>
  <c r="C206" i="7"/>
  <c r="B206" i="7"/>
  <c r="C205" i="7"/>
  <c r="B205" i="7"/>
  <c r="C204" i="7"/>
  <c r="B204" i="7"/>
  <c r="C203" i="7"/>
  <c r="B203" i="7"/>
  <c r="C202" i="7"/>
  <c r="B202" i="7"/>
  <c r="C201" i="7"/>
  <c r="B201" i="7"/>
  <c r="C200" i="7"/>
  <c r="B200" i="7"/>
  <c r="C199" i="7"/>
  <c r="B199" i="7"/>
  <c r="C198" i="7"/>
  <c r="B198" i="7"/>
  <c r="C197" i="7"/>
  <c r="B197" i="7"/>
  <c r="C196" i="7"/>
  <c r="B196" i="7"/>
  <c r="C195" i="7"/>
  <c r="B195" i="7"/>
  <c r="C194" i="7"/>
  <c r="B194" i="7"/>
  <c r="C193" i="7"/>
  <c r="B193" i="7"/>
  <c r="C192" i="7"/>
  <c r="B192" i="7"/>
  <c r="C191" i="7"/>
  <c r="B191" i="7"/>
  <c r="C190" i="7"/>
  <c r="B190" i="7"/>
  <c r="C189" i="7"/>
  <c r="B189" i="7"/>
  <c r="C188" i="7"/>
  <c r="B188" i="7"/>
  <c r="C187" i="7"/>
  <c r="B187" i="7"/>
  <c r="C186" i="7"/>
  <c r="B186" i="7"/>
  <c r="C185" i="7"/>
  <c r="B185" i="7"/>
  <c r="C184" i="7"/>
  <c r="B184" i="7"/>
  <c r="C183" i="7"/>
  <c r="B183" i="7"/>
  <c r="C182" i="7"/>
  <c r="B182" i="7"/>
  <c r="C181" i="7"/>
  <c r="B181" i="7"/>
  <c r="C180" i="7"/>
  <c r="B180" i="7"/>
  <c r="C179" i="7"/>
  <c r="B179" i="7"/>
  <c r="C178" i="7"/>
  <c r="B178" i="7"/>
  <c r="C177" i="7"/>
  <c r="B177" i="7"/>
  <c r="C176" i="7"/>
  <c r="B176" i="7"/>
  <c r="C175" i="7"/>
  <c r="B175" i="7"/>
  <c r="C174" i="7"/>
  <c r="B174" i="7"/>
  <c r="C173" i="7"/>
  <c r="B173" i="7"/>
  <c r="C172" i="7"/>
  <c r="B172" i="7"/>
  <c r="C171" i="7"/>
  <c r="B171" i="7"/>
  <c r="C170" i="7"/>
  <c r="B170" i="7"/>
  <c r="C169" i="7"/>
  <c r="B169" i="7"/>
  <c r="C168" i="7"/>
  <c r="B168" i="7"/>
  <c r="C167" i="7"/>
  <c r="B167" i="7"/>
  <c r="C166" i="7"/>
  <c r="B166" i="7"/>
  <c r="C165" i="7"/>
  <c r="B165" i="7"/>
  <c r="C164" i="7"/>
  <c r="B164" i="7"/>
  <c r="C163" i="7"/>
  <c r="B163" i="7"/>
  <c r="C162" i="7"/>
  <c r="B162" i="7"/>
  <c r="C161" i="7"/>
  <c r="B161" i="7"/>
  <c r="C160" i="7"/>
  <c r="B160" i="7"/>
  <c r="C159" i="7"/>
  <c r="B159" i="7"/>
  <c r="C158" i="7"/>
  <c r="B158" i="7"/>
  <c r="C157" i="7"/>
  <c r="B157" i="7"/>
  <c r="C156" i="7"/>
  <c r="B156" i="7"/>
  <c r="C155" i="7"/>
  <c r="B155" i="7"/>
  <c r="C154" i="7"/>
  <c r="B154" i="7"/>
  <c r="C153" i="7"/>
  <c r="B153" i="7"/>
  <c r="C152" i="7"/>
  <c r="B152" i="7"/>
  <c r="C151" i="7"/>
  <c r="B151" i="7"/>
  <c r="C150" i="7"/>
  <c r="B150" i="7"/>
  <c r="C149" i="7"/>
  <c r="B149" i="7"/>
  <c r="C148" i="7"/>
  <c r="B148" i="7"/>
  <c r="C147" i="7"/>
  <c r="B147" i="7"/>
  <c r="C146" i="7"/>
  <c r="B146" i="7"/>
  <c r="C145" i="7"/>
  <c r="B145" i="7"/>
  <c r="C144" i="7"/>
  <c r="B144" i="7"/>
  <c r="C143" i="7"/>
  <c r="B143" i="7"/>
  <c r="C142" i="7"/>
  <c r="B142" i="7"/>
  <c r="C141" i="7"/>
  <c r="B141" i="7"/>
  <c r="C140" i="7"/>
  <c r="B140" i="7"/>
  <c r="C139" i="7"/>
  <c r="B139" i="7"/>
  <c r="C138" i="7"/>
  <c r="B138" i="7"/>
  <c r="C137" i="7"/>
  <c r="B137" i="7"/>
  <c r="C136" i="7"/>
  <c r="B136" i="7"/>
  <c r="C135" i="7"/>
  <c r="B135" i="7"/>
  <c r="C134" i="7"/>
  <c r="B134" i="7"/>
  <c r="C133" i="7"/>
  <c r="B133" i="7"/>
  <c r="C132" i="7"/>
  <c r="B132" i="7"/>
  <c r="C131" i="7"/>
  <c r="B131" i="7"/>
  <c r="C130" i="7"/>
  <c r="B130" i="7"/>
  <c r="C129" i="7"/>
  <c r="B129" i="7"/>
  <c r="C128" i="7"/>
  <c r="B128" i="7"/>
  <c r="C127" i="7"/>
  <c r="B127" i="7"/>
  <c r="C126" i="7"/>
  <c r="B126" i="7"/>
  <c r="C125" i="7"/>
  <c r="B125" i="7"/>
  <c r="C124" i="7"/>
  <c r="B124" i="7"/>
  <c r="C123" i="7"/>
  <c r="B123" i="7"/>
  <c r="C122" i="7"/>
  <c r="B122" i="7"/>
  <c r="C121" i="7"/>
  <c r="B121" i="7"/>
  <c r="C120" i="7"/>
  <c r="B120" i="7"/>
  <c r="C119" i="7"/>
  <c r="B119" i="7"/>
  <c r="C118" i="7"/>
  <c r="B118" i="7"/>
  <c r="C117" i="7"/>
  <c r="B117" i="7"/>
  <c r="C116" i="7"/>
  <c r="B116" i="7"/>
  <c r="C115" i="7"/>
  <c r="B115" i="7"/>
  <c r="C114" i="7"/>
  <c r="B114" i="7"/>
  <c r="C113" i="7"/>
  <c r="B113" i="7"/>
  <c r="C112" i="7"/>
  <c r="B112" i="7"/>
  <c r="C111" i="7"/>
  <c r="B111" i="7"/>
  <c r="C110" i="7"/>
  <c r="B110" i="7"/>
  <c r="C109" i="7"/>
  <c r="B109" i="7"/>
  <c r="C108" i="7"/>
  <c r="B108" i="7"/>
  <c r="C107" i="7"/>
  <c r="B107" i="7"/>
  <c r="C106" i="7"/>
  <c r="B106" i="7"/>
  <c r="C105" i="7"/>
  <c r="B105" i="7"/>
  <c r="C104" i="7"/>
  <c r="B104" i="7"/>
  <c r="C103" i="7"/>
  <c r="B103" i="7"/>
  <c r="C102" i="7"/>
  <c r="B102" i="7"/>
  <c r="C101" i="7"/>
  <c r="B101" i="7"/>
  <c r="C100" i="7"/>
  <c r="B100" i="7"/>
  <c r="C99" i="7"/>
  <c r="B99" i="7"/>
  <c r="C98" i="7"/>
  <c r="B98" i="7"/>
  <c r="C97" i="7"/>
  <c r="B97" i="7"/>
  <c r="C96" i="7"/>
  <c r="B96" i="7"/>
  <c r="C95" i="7"/>
  <c r="B95" i="7"/>
  <c r="C94" i="7"/>
  <c r="B94" i="7"/>
  <c r="C93" i="7"/>
  <c r="B93" i="7"/>
  <c r="C92" i="7"/>
  <c r="B92" i="7"/>
  <c r="C91" i="7"/>
  <c r="B91" i="7"/>
  <c r="C90" i="7"/>
  <c r="B90" i="7"/>
  <c r="C89" i="7"/>
  <c r="B89" i="7"/>
  <c r="C88" i="7"/>
  <c r="B88" i="7"/>
  <c r="C87" i="7"/>
  <c r="B87" i="7"/>
  <c r="C86" i="7"/>
  <c r="B86" i="7"/>
  <c r="C85" i="7"/>
  <c r="B85" i="7"/>
  <c r="C84" i="7"/>
  <c r="B84" i="7"/>
  <c r="C83" i="7"/>
  <c r="B83" i="7"/>
  <c r="C82" i="7"/>
  <c r="B82" i="7"/>
  <c r="C81" i="7"/>
  <c r="B81" i="7"/>
  <c r="C80" i="7"/>
  <c r="B80" i="7"/>
  <c r="C79" i="7"/>
  <c r="B79" i="7"/>
  <c r="C78" i="7"/>
  <c r="B78" i="7"/>
  <c r="C77" i="7"/>
  <c r="B77" i="7"/>
  <c r="C76" i="7"/>
  <c r="B76" i="7"/>
  <c r="C75" i="7"/>
  <c r="B75" i="7"/>
  <c r="C74" i="7"/>
  <c r="B74" i="7"/>
  <c r="C73" i="7"/>
  <c r="B73" i="7"/>
  <c r="C72" i="7"/>
  <c r="B72" i="7"/>
  <c r="C71" i="7"/>
  <c r="B71" i="7"/>
  <c r="C70" i="7"/>
  <c r="B70" i="7"/>
  <c r="C69" i="7"/>
  <c r="B69" i="7"/>
  <c r="C68" i="7"/>
  <c r="B68" i="7"/>
  <c r="C67" i="7"/>
  <c r="B67" i="7"/>
  <c r="C66" i="7"/>
  <c r="B66" i="7"/>
  <c r="C65" i="7"/>
  <c r="B65" i="7"/>
  <c r="C64" i="7"/>
  <c r="B64" i="7"/>
  <c r="C63" i="7"/>
  <c r="B63" i="7"/>
  <c r="C62" i="7"/>
  <c r="B62" i="7"/>
  <c r="C61" i="7"/>
  <c r="B61" i="7"/>
  <c r="C60" i="7"/>
  <c r="B60" i="7"/>
  <c r="C59" i="7"/>
  <c r="B59" i="7"/>
  <c r="C58" i="7"/>
  <c r="B58" i="7"/>
  <c r="C57" i="7"/>
  <c r="B57" i="7"/>
  <c r="C56" i="7"/>
  <c r="B56" i="7"/>
  <c r="C55" i="7"/>
  <c r="B55" i="7"/>
  <c r="C54" i="7"/>
  <c r="B54" i="7"/>
  <c r="C53" i="7"/>
  <c r="B53" i="7"/>
  <c r="C52" i="7"/>
  <c r="B52" i="7"/>
  <c r="C51" i="7"/>
  <c r="B51" i="7"/>
  <c r="C50" i="7"/>
  <c r="B50" i="7"/>
  <c r="C49" i="7"/>
  <c r="B49" i="7"/>
  <c r="C48" i="7"/>
  <c r="B48" i="7"/>
  <c r="C47" i="7"/>
  <c r="B47" i="7"/>
  <c r="C46" i="7"/>
  <c r="B46" i="7"/>
  <c r="C45" i="7"/>
  <c r="B45" i="7"/>
  <c r="C44" i="7"/>
  <c r="B44" i="7"/>
  <c r="C43" i="7"/>
  <c r="B43" i="7"/>
  <c r="C42" i="7"/>
  <c r="B42" i="7"/>
  <c r="C41" i="7"/>
  <c r="B41" i="7"/>
  <c r="C40" i="7"/>
  <c r="B40" i="7"/>
  <c r="C39" i="7"/>
  <c r="B39" i="7"/>
  <c r="C38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C30" i="7"/>
  <c r="B30" i="7"/>
  <c r="C29" i="7"/>
  <c r="B29" i="7"/>
  <c r="C28" i="7"/>
  <c r="B28" i="7"/>
  <c r="C27" i="7"/>
  <c r="B27" i="7"/>
  <c r="C26" i="7"/>
  <c r="B26" i="7"/>
  <c r="C25" i="7"/>
  <c r="B25" i="7"/>
  <c r="C24" i="7"/>
  <c r="B24" i="7"/>
  <c r="C23" i="7"/>
  <c r="B23" i="7"/>
  <c r="C22" i="7"/>
  <c r="B22" i="7"/>
  <c r="C21" i="7"/>
  <c r="B21" i="7"/>
  <c r="C20" i="7"/>
  <c r="B20" i="7"/>
  <c r="C19" i="7"/>
  <c r="B19" i="7"/>
  <c r="C18" i="7"/>
  <c r="B18" i="7"/>
  <c r="C17" i="7"/>
  <c r="B17" i="7"/>
  <c r="C16" i="7"/>
  <c r="B16" i="7"/>
  <c r="C15" i="7"/>
  <c r="B15" i="7"/>
  <c r="C14" i="7"/>
  <c r="B14" i="7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C4" i="7"/>
  <c r="B4" i="7"/>
  <c r="A2" i="7"/>
  <c r="G1" i="8" l="1"/>
  <c r="G2" i="8" s="1"/>
  <c r="G5" i="8" s="1"/>
  <c r="AD1" i="8"/>
  <c r="AD2" i="8" s="1"/>
  <c r="AD5" i="8" s="1"/>
  <c r="G1" i="16"/>
  <c r="E1" i="10"/>
  <c r="L1" i="9"/>
  <c r="AF1" i="9"/>
  <c r="AH2" i="7"/>
  <c r="AH4" i="7" s="1"/>
  <c r="O1" i="8"/>
  <c r="O2" i="8" s="1"/>
  <c r="O4" i="8" s="1"/>
  <c r="P1" i="9"/>
  <c r="K1" i="11"/>
  <c r="AA1" i="11"/>
  <c r="S1" i="16"/>
  <c r="V1" i="8"/>
  <c r="V2" i="8" s="1"/>
  <c r="T1" i="9"/>
  <c r="Q1" i="10"/>
  <c r="Q2" i="10" s="1"/>
  <c r="P1" i="11"/>
  <c r="P2" i="11" s="1"/>
  <c r="AF1" i="11"/>
  <c r="AH2" i="14"/>
  <c r="AH4" i="14" s="1"/>
  <c r="P1" i="14"/>
  <c r="W1" i="16"/>
  <c r="W2" i="16" s="1"/>
  <c r="D1" i="9"/>
  <c r="S1" i="11"/>
  <c r="K1" i="8"/>
  <c r="K2" i="8" s="1"/>
  <c r="AH2" i="9"/>
  <c r="AH4" i="9" s="1"/>
  <c r="H1" i="9"/>
  <c r="X1" i="9"/>
  <c r="M1" i="10"/>
  <c r="D1" i="11"/>
  <c r="D2" i="11" s="1"/>
  <c r="L1" i="11"/>
  <c r="T1" i="11"/>
  <c r="AB1" i="11"/>
  <c r="AB2" i="11" s="1"/>
  <c r="J1" i="13"/>
  <c r="R1" i="13"/>
  <c r="R2" i="13" s="1"/>
  <c r="Z1" i="13"/>
  <c r="Z2" i="13" s="1"/>
  <c r="AH1" i="13"/>
  <c r="AH2" i="13" s="1"/>
  <c r="D1" i="14"/>
  <c r="D2" i="14" s="1"/>
  <c r="T1" i="14"/>
  <c r="K1" i="16"/>
  <c r="AA1" i="16"/>
  <c r="G1" i="11"/>
  <c r="G2" i="11" s="1"/>
  <c r="O1" i="11"/>
  <c r="W1" i="11"/>
  <c r="AE1" i="11"/>
  <c r="K1" i="13"/>
  <c r="S1" i="13"/>
  <c r="S2" i="13" s="1"/>
  <c r="AA1" i="13"/>
  <c r="H1" i="14"/>
  <c r="H2" i="14" s="1"/>
  <c r="X1" i="14"/>
  <c r="X2" i="14" s="1"/>
  <c r="O1" i="16"/>
  <c r="O2" i="16" s="1"/>
  <c r="AE1" i="16"/>
  <c r="AE2" i="16" s="1"/>
  <c r="F1" i="13"/>
  <c r="N1" i="13"/>
  <c r="N2" i="13" s="1"/>
  <c r="V1" i="13"/>
  <c r="AD1" i="13"/>
  <c r="G1" i="13"/>
  <c r="O1" i="13"/>
  <c r="W1" i="13"/>
  <c r="F1" i="8"/>
  <c r="F2" i="8" s="1"/>
  <c r="J1" i="8"/>
  <c r="J2" i="8" s="1"/>
  <c r="J5" i="8" s="1"/>
  <c r="N1" i="8"/>
  <c r="N2" i="8" s="1"/>
  <c r="N5" i="8" s="1"/>
  <c r="S1" i="8"/>
  <c r="S2" i="8" s="1"/>
  <c r="AA1" i="8"/>
  <c r="AA2" i="8" s="1"/>
  <c r="AA5" i="8" s="1"/>
  <c r="AE1" i="10"/>
  <c r="AE2" i="10" s="1"/>
  <c r="AA1" i="10"/>
  <c r="AA2" i="10" s="1"/>
  <c r="W1" i="10"/>
  <c r="W2" i="10" s="1"/>
  <c r="S1" i="10"/>
  <c r="O1" i="10"/>
  <c r="O2" i="10" s="1"/>
  <c r="K1" i="10"/>
  <c r="G1" i="10"/>
  <c r="AH1" i="10"/>
  <c r="AH2" i="10" s="1"/>
  <c r="AD1" i="10"/>
  <c r="AD2" i="10" s="1"/>
  <c r="Z1" i="10"/>
  <c r="V1" i="10"/>
  <c r="R1" i="10"/>
  <c r="N1" i="10"/>
  <c r="J1" i="10"/>
  <c r="J2" i="10" s="1"/>
  <c r="F1" i="10"/>
  <c r="AF1" i="10"/>
  <c r="AF2" i="10" s="1"/>
  <c r="AB1" i="10"/>
  <c r="AB2" i="10" s="1"/>
  <c r="X1" i="10"/>
  <c r="X2" i="10" s="1"/>
  <c r="T1" i="10"/>
  <c r="T2" i="10" s="1"/>
  <c r="P1" i="10"/>
  <c r="L1" i="10"/>
  <c r="L2" i="10" s="1"/>
  <c r="H1" i="10"/>
  <c r="D1" i="10"/>
  <c r="I1" i="10"/>
  <c r="Y1" i="10"/>
  <c r="Y2" i="10" s="1"/>
  <c r="D1" i="8"/>
  <c r="D2" i="8" s="1"/>
  <c r="D4" i="8" s="1"/>
  <c r="H1" i="8"/>
  <c r="H2" i="8" s="1"/>
  <c r="L1" i="8"/>
  <c r="L2" i="8" s="1"/>
  <c r="Q1" i="8"/>
  <c r="Q2" i="8" s="1"/>
  <c r="Q5" i="8" s="1"/>
  <c r="W1" i="8"/>
  <c r="W2" i="8" s="1"/>
  <c r="W4" i="8" s="1"/>
  <c r="AF1" i="8"/>
  <c r="AF2" i="8" s="1"/>
  <c r="AB1" i="8"/>
  <c r="AB2" i="8" s="1"/>
  <c r="AB5" i="8" s="1"/>
  <c r="X1" i="8"/>
  <c r="X2" i="8" s="1"/>
  <c r="X5" i="8" s="1"/>
  <c r="T1" i="8"/>
  <c r="T2" i="8" s="1"/>
  <c r="T5" i="8" s="1"/>
  <c r="P1" i="8"/>
  <c r="P2" i="8" s="1"/>
  <c r="P5" i="8" s="1"/>
  <c r="AG1" i="8"/>
  <c r="AG2" i="8" s="1"/>
  <c r="AC1" i="8"/>
  <c r="AC2" i="8" s="1"/>
  <c r="Y1" i="8"/>
  <c r="U1" i="8"/>
  <c r="E1" i="8"/>
  <c r="E2" i="8" s="1"/>
  <c r="I1" i="8"/>
  <c r="M1" i="8"/>
  <c r="R1" i="8"/>
  <c r="R2" i="8" s="1"/>
  <c r="Z1" i="8"/>
  <c r="Z2" i="8" s="1"/>
  <c r="AH1" i="8"/>
  <c r="AH2" i="8" s="1"/>
  <c r="AH4" i="8" s="1"/>
  <c r="G1" i="9"/>
  <c r="K1" i="9"/>
  <c r="O1" i="9"/>
  <c r="O2" i="9" s="1"/>
  <c r="S1" i="9"/>
  <c r="S2" i="9" s="1"/>
  <c r="W1" i="9"/>
  <c r="W2" i="9" s="1"/>
  <c r="AA1" i="9"/>
  <c r="AA2" i="9" s="1"/>
  <c r="AE1" i="9"/>
  <c r="F1" i="11"/>
  <c r="F2" i="11" s="1"/>
  <c r="J1" i="11"/>
  <c r="N1" i="11"/>
  <c r="R1" i="11"/>
  <c r="V1" i="11"/>
  <c r="V2" i="11" s="1"/>
  <c r="Z1" i="11"/>
  <c r="AD1" i="11"/>
  <c r="D1" i="12"/>
  <c r="H1" i="12"/>
  <c r="L1" i="12"/>
  <c r="L2" i="12" s="1"/>
  <c r="P1" i="12"/>
  <c r="T1" i="12"/>
  <c r="T2" i="12" s="1"/>
  <c r="X1" i="12"/>
  <c r="AB1" i="12"/>
  <c r="AB2" i="12" s="1"/>
  <c r="AF1" i="12"/>
  <c r="AF2" i="12" s="1"/>
  <c r="AD2" i="13"/>
  <c r="E1" i="13"/>
  <c r="E2" i="13" s="1"/>
  <c r="I1" i="13"/>
  <c r="M1" i="13"/>
  <c r="Q1" i="13"/>
  <c r="U1" i="13"/>
  <c r="U2" i="13" s="1"/>
  <c r="Y1" i="13"/>
  <c r="AC1" i="13"/>
  <c r="AG1" i="13"/>
  <c r="G1" i="14"/>
  <c r="G2" i="14" s="1"/>
  <c r="K1" i="14"/>
  <c r="K2" i="14" s="1"/>
  <c r="O1" i="14"/>
  <c r="S1" i="14"/>
  <c r="S2" i="14" s="1"/>
  <c r="W1" i="14"/>
  <c r="W2" i="14" s="1"/>
  <c r="AA1" i="14"/>
  <c r="AA2" i="14" s="1"/>
  <c r="AE1" i="14"/>
  <c r="AE2" i="14" s="1"/>
  <c r="D1" i="15"/>
  <c r="H1" i="15"/>
  <c r="H2" i="15" s="1"/>
  <c r="L1" i="15"/>
  <c r="P1" i="15"/>
  <c r="T1" i="15"/>
  <c r="X1" i="15"/>
  <c r="AB1" i="15"/>
  <c r="F1" i="16"/>
  <c r="J1" i="16"/>
  <c r="N1" i="16"/>
  <c r="R1" i="16"/>
  <c r="R2" i="16" s="1"/>
  <c r="V1" i="16"/>
  <c r="Z1" i="16"/>
  <c r="Z2" i="16" s="1"/>
  <c r="AD1" i="16"/>
  <c r="AH1" i="16"/>
  <c r="AH2" i="16" s="1"/>
  <c r="AH5" i="16" s="1"/>
  <c r="D1" i="17"/>
  <c r="D2" i="17" s="1"/>
  <c r="H1" i="17"/>
  <c r="L1" i="17"/>
  <c r="L2" i="17" s="1"/>
  <c r="P1" i="17"/>
  <c r="T1" i="17"/>
  <c r="T2" i="17" s="1"/>
  <c r="X1" i="17"/>
  <c r="AB1" i="17"/>
  <c r="AB2" i="17" s="1"/>
  <c r="G1" i="18"/>
  <c r="G2" i="18" s="1"/>
  <c r="K1" i="18"/>
  <c r="K2" i="18" s="1"/>
  <c r="K5" i="18" s="1"/>
  <c r="O1" i="18"/>
  <c r="S1" i="18"/>
  <c r="W1" i="18"/>
  <c r="AA1" i="18"/>
  <c r="AA2" i="18" s="1"/>
  <c r="AE1" i="18"/>
  <c r="E1" i="12"/>
  <c r="E2" i="12" s="1"/>
  <c r="I1" i="12"/>
  <c r="I2" i="12" s="1"/>
  <c r="M1" i="12"/>
  <c r="M2" i="12" s="1"/>
  <c r="Q1" i="12"/>
  <c r="U1" i="12"/>
  <c r="U2" i="12" s="1"/>
  <c r="Y1" i="12"/>
  <c r="AC1" i="12"/>
  <c r="AG1" i="12"/>
  <c r="E1" i="15"/>
  <c r="E2" i="15" s="1"/>
  <c r="I1" i="15"/>
  <c r="M1" i="15"/>
  <c r="Q1" i="15"/>
  <c r="U1" i="15"/>
  <c r="U2" i="15" s="1"/>
  <c r="Y1" i="15"/>
  <c r="Y2" i="15" s="1"/>
  <c r="AC1" i="15"/>
  <c r="AG1" i="15"/>
  <c r="AG2" i="15" s="1"/>
  <c r="E1" i="17"/>
  <c r="I1" i="17"/>
  <c r="I2" i="17" s="1"/>
  <c r="M1" i="17"/>
  <c r="M2" i="17" s="1"/>
  <c r="Q1" i="17"/>
  <c r="U1" i="17"/>
  <c r="U2" i="17" s="1"/>
  <c r="Y1" i="17"/>
  <c r="Y2" i="17" s="1"/>
  <c r="AC1" i="17"/>
  <c r="D1" i="18"/>
  <c r="H1" i="18"/>
  <c r="H2" i="18" s="1"/>
  <c r="L1" i="18"/>
  <c r="L2" i="18" s="1"/>
  <c r="P1" i="18"/>
  <c r="T1" i="18"/>
  <c r="X1" i="18"/>
  <c r="X2" i="18" s="1"/>
  <c r="AB1" i="18"/>
  <c r="AB2" i="18" s="1"/>
  <c r="E1" i="9"/>
  <c r="I1" i="9"/>
  <c r="I2" i="9" s="1"/>
  <c r="M1" i="9"/>
  <c r="M2" i="9" s="1"/>
  <c r="Q1" i="9"/>
  <c r="Q2" i="9" s="1"/>
  <c r="U1" i="9"/>
  <c r="U2" i="9" s="1"/>
  <c r="Y1" i="9"/>
  <c r="AC1" i="9"/>
  <c r="AC2" i="9" s="1"/>
  <c r="AG1" i="9"/>
  <c r="F1" i="12"/>
  <c r="J1" i="12"/>
  <c r="N1" i="12"/>
  <c r="R1" i="12"/>
  <c r="V1" i="12"/>
  <c r="Z1" i="12"/>
  <c r="AD1" i="12"/>
  <c r="E1" i="14"/>
  <c r="I1" i="14"/>
  <c r="M1" i="14"/>
  <c r="M2" i="14" s="1"/>
  <c r="Q1" i="14"/>
  <c r="U1" i="14"/>
  <c r="U2" i="14" s="1"/>
  <c r="Y1" i="14"/>
  <c r="Y2" i="14" s="1"/>
  <c r="AC1" i="14"/>
  <c r="AG1" i="14"/>
  <c r="F1" i="15"/>
  <c r="J1" i="15"/>
  <c r="N1" i="15"/>
  <c r="R1" i="15"/>
  <c r="R2" i="15" s="1"/>
  <c r="V1" i="15"/>
  <c r="Z1" i="15"/>
  <c r="Z2" i="15" s="1"/>
  <c r="AD1" i="15"/>
  <c r="AD2" i="15" s="1"/>
  <c r="AH1" i="15"/>
  <c r="AH2" i="15" s="1"/>
  <c r="AH5" i="15" s="1"/>
  <c r="D1" i="16"/>
  <c r="D2" i="16" s="1"/>
  <c r="H1" i="16"/>
  <c r="L1" i="16"/>
  <c r="L2" i="16" s="1"/>
  <c r="P1" i="16"/>
  <c r="P2" i="16" s="1"/>
  <c r="T1" i="16"/>
  <c r="T2" i="16" s="1"/>
  <c r="X1" i="16"/>
  <c r="X2" i="16" s="1"/>
  <c r="AB1" i="16"/>
  <c r="F1" i="17"/>
  <c r="F2" i="17" s="1"/>
  <c r="J1" i="17"/>
  <c r="J2" i="17" s="1"/>
  <c r="N1" i="17"/>
  <c r="R1" i="17"/>
  <c r="V1" i="17"/>
  <c r="V2" i="17" s="1"/>
  <c r="Z1" i="17"/>
  <c r="Z2" i="17" s="1"/>
  <c r="AD1" i="17"/>
  <c r="AD2" i="17" s="1"/>
  <c r="E1" i="18"/>
  <c r="E2" i="18" s="1"/>
  <c r="I1" i="18"/>
  <c r="I2" i="18" s="1"/>
  <c r="M1" i="18"/>
  <c r="M2" i="18" s="1"/>
  <c r="Q1" i="18"/>
  <c r="Q2" i="18" s="1"/>
  <c r="U1" i="18"/>
  <c r="U2" i="18" s="1"/>
  <c r="Y1" i="18"/>
  <c r="Y2" i="18" s="1"/>
  <c r="AC1" i="18"/>
  <c r="AC2" i="18" s="1"/>
  <c r="AG1" i="18"/>
  <c r="AG2" i="18" s="1"/>
  <c r="AG4" i="18" s="1"/>
  <c r="F1" i="9"/>
  <c r="J1" i="9"/>
  <c r="J2" i="9" s="1"/>
  <c r="N1" i="9"/>
  <c r="R1" i="9"/>
  <c r="V1" i="9"/>
  <c r="Z1" i="9"/>
  <c r="Z2" i="9" s="1"/>
  <c r="AD1" i="9"/>
  <c r="AH2" i="11"/>
  <c r="E1" i="11"/>
  <c r="I1" i="11"/>
  <c r="I2" i="11" s="1"/>
  <c r="M1" i="11"/>
  <c r="M2" i="11" s="1"/>
  <c r="Q1" i="11"/>
  <c r="U1" i="11"/>
  <c r="U2" i="11" s="1"/>
  <c r="Y1" i="11"/>
  <c r="Y2" i="11" s="1"/>
  <c r="AC1" i="11"/>
  <c r="AC2" i="11" s="1"/>
  <c r="AG1" i="11"/>
  <c r="AG2" i="11" s="1"/>
  <c r="G1" i="12"/>
  <c r="K1" i="12"/>
  <c r="K2" i="12" s="1"/>
  <c r="O1" i="12"/>
  <c r="S1" i="12"/>
  <c r="W1" i="12"/>
  <c r="AA1" i="12"/>
  <c r="AA2" i="12" s="1"/>
  <c r="AE1" i="12"/>
  <c r="D1" i="13"/>
  <c r="H1" i="13"/>
  <c r="L1" i="13"/>
  <c r="L2" i="13" s="1"/>
  <c r="P1" i="13"/>
  <c r="P2" i="13" s="1"/>
  <c r="T1" i="13"/>
  <c r="X1" i="13"/>
  <c r="X2" i="13" s="1"/>
  <c r="AB1" i="13"/>
  <c r="AB2" i="13" s="1"/>
  <c r="AF1" i="13"/>
  <c r="AF2" i="13" s="1"/>
  <c r="F1" i="14"/>
  <c r="F2" i="14" s="1"/>
  <c r="J1" i="14"/>
  <c r="N1" i="14"/>
  <c r="N2" i="14" s="1"/>
  <c r="R1" i="14"/>
  <c r="V1" i="14"/>
  <c r="Z1" i="14"/>
  <c r="AD1" i="14"/>
  <c r="AD2" i="14" s="1"/>
  <c r="G1" i="15"/>
  <c r="K1" i="15"/>
  <c r="O1" i="15"/>
  <c r="S1" i="15"/>
  <c r="S2" i="15" s="1"/>
  <c r="W1" i="15"/>
  <c r="W2" i="15" s="1"/>
  <c r="AA1" i="15"/>
  <c r="AE1" i="15"/>
  <c r="E1" i="16"/>
  <c r="E2" i="16" s="1"/>
  <c r="I1" i="16"/>
  <c r="I2" i="16" s="1"/>
  <c r="M1" i="16"/>
  <c r="Q1" i="16"/>
  <c r="Q2" i="16" s="1"/>
  <c r="U1" i="16"/>
  <c r="Y1" i="16"/>
  <c r="AC1" i="16"/>
  <c r="AG1" i="16"/>
  <c r="AG2" i="16" s="1"/>
  <c r="G1" i="17"/>
  <c r="K1" i="17"/>
  <c r="O1" i="17"/>
  <c r="O2" i="17" s="1"/>
  <c r="S1" i="17"/>
  <c r="W1" i="17"/>
  <c r="W2" i="17" s="1"/>
  <c r="AA1" i="17"/>
  <c r="AA2" i="17" s="1"/>
  <c r="AE1" i="17"/>
  <c r="AE2" i="17" s="1"/>
  <c r="F1" i="18"/>
  <c r="F2" i="18" s="1"/>
  <c r="J1" i="18"/>
  <c r="J2" i="18" s="1"/>
  <c r="N1" i="18"/>
  <c r="N2" i="18" s="1"/>
  <c r="R1" i="18"/>
  <c r="V1" i="18"/>
  <c r="V2" i="18" s="1"/>
  <c r="Z1" i="18"/>
  <c r="AD1" i="18"/>
  <c r="AD2" i="18" s="1"/>
  <c r="AH1" i="18"/>
  <c r="AH2" i="18" s="1"/>
  <c r="AH4" i="18" s="1"/>
  <c r="G5" i="18"/>
  <c r="G4" i="18"/>
  <c r="AF5" i="18"/>
  <c r="AF4" i="18"/>
  <c r="O2" i="18"/>
  <c r="S2" i="18"/>
  <c r="W2" i="18"/>
  <c r="AE2" i="18"/>
  <c r="D2" i="18"/>
  <c r="P2" i="18"/>
  <c r="T2" i="18"/>
  <c r="R2" i="18"/>
  <c r="Z2" i="18"/>
  <c r="AH4" i="17"/>
  <c r="AH5" i="17"/>
  <c r="K2" i="17"/>
  <c r="S2" i="17"/>
  <c r="H2" i="17"/>
  <c r="P2" i="17"/>
  <c r="X2" i="17"/>
  <c r="AF2" i="17"/>
  <c r="G2" i="17"/>
  <c r="E2" i="17"/>
  <c r="Q2" i="17"/>
  <c r="AC2" i="17"/>
  <c r="AG2" i="17"/>
  <c r="N2" i="17"/>
  <c r="R2" i="17"/>
  <c r="H2" i="16"/>
  <c r="AB2" i="16"/>
  <c r="AF2" i="16"/>
  <c r="G2" i="16"/>
  <c r="M2" i="16"/>
  <c r="U2" i="16"/>
  <c r="Y2" i="16"/>
  <c r="AC2" i="16"/>
  <c r="K2" i="16"/>
  <c r="S2" i="16"/>
  <c r="AA2" i="16"/>
  <c r="F2" i="16"/>
  <c r="J2" i="16"/>
  <c r="N2" i="16"/>
  <c r="V2" i="16"/>
  <c r="AD2" i="16"/>
  <c r="G2" i="15"/>
  <c r="G4" i="15" s="1"/>
  <c r="K2" i="15"/>
  <c r="O2" i="15"/>
  <c r="AA2" i="15"/>
  <c r="AE2" i="15"/>
  <c r="D2" i="15"/>
  <c r="L2" i="15"/>
  <c r="X2" i="15"/>
  <c r="AF2" i="15"/>
  <c r="I2" i="15"/>
  <c r="M2" i="15"/>
  <c r="Q2" i="15"/>
  <c r="AC2" i="15"/>
  <c r="P2" i="15"/>
  <c r="T2" i="15"/>
  <c r="AB2" i="15"/>
  <c r="F2" i="15"/>
  <c r="J2" i="15"/>
  <c r="N2" i="15"/>
  <c r="V2" i="15"/>
  <c r="L2" i="14"/>
  <c r="P2" i="14"/>
  <c r="T2" i="14"/>
  <c r="AB2" i="14"/>
  <c r="AF2" i="14"/>
  <c r="O2" i="14"/>
  <c r="E2" i="14"/>
  <c r="I2" i="14"/>
  <c r="Q2" i="14"/>
  <c r="AC2" i="14"/>
  <c r="AG2" i="14"/>
  <c r="J2" i="14"/>
  <c r="R2" i="14"/>
  <c r="V2" i="14"/>
  <c r="Z2" i="14"/>
  <c r="AH4" i="13"/>
  <c r="AH5" i="13"/>
  <c r="AD5" i="13"/>
  <c r="AD4" i="13"/>
  <c r="K2" i="13"/>
  <c r="AA2" i="13"/>
  <c r="G2" i="13"/>
  <c r="O2" i="13"/>
  <c r="W2" i="13"/>
  <c r="AE2" i="13"/>
  <c r="H2" i="13"/>
  <c r="T2" i="13"/>
  <c r="I2" i="13"/>
  <c r="M2" i="13"/>
  <c r="Q2" i="13"/>
  <c r="Y2" i="13"/>
  <c r="AC2" i="13"/>
  <c r="AG2" i="13"/>
  <c r="D2" i="13"/>
  <c r="F2" i="13"/>
  <c r="J2" i="13"/>
  <c r="V2" i="13"/>
  <c r="AH5" i="12"/>
  <c r="AH4" i="12"/>
  <c r="G2" i="12"/>
  <c r="O2" i="12"/>
  <c r="W2" i="12"/>
  <c r="AE2" i="12"/>
  <c r="D2" i="12"/>
  <c r="H2" i="12"/>
  <c r="P2" i="12"/>
  <c r="X2" i="12"/>
  <c r="Q2" i="12"/>
  <c r="Y2" i="12"/>
  <c r="AC2" i="12"/>
  <c r="AG2" i="12"/>
  <c r="S2" i="12"/>
  <c r="F2" i="12"/>
  <c r="J2" i="12"/>
  <c r="N2" i="12"/>
  <c r="R2" i="12"/>
  <c r="V2" i="12"/>
  <c r="Z2" i="12"/>
  <c r="AD2" i="12"/>
  <c r="AH4" i="11"/>
  <c r="AH5" i="11"/>
  <c r="O2" i="11"/>
  <c r="S2" i="11"/>
  <c r="AA2" i="11"/>
  <c r="H2" i="11"/>
  <c r="L2" i="11"/>
  <c r="T2" i="11"/>
  <c r="X2" i="11"/>
  <c r="AF2" i="11"/>
  <c r="K2" i="11"/>
  <c r="W2" i="11"/>
  <c r="AE2" i="11"/>
  <c r="E2" i="11"/>
  <c r="Q2" i="11"/>
  <c r="J2" i="11"/>
  <c r="N2" i="11"/>
  <c r="R2" i="11"/>
  <c r="Z2" i="11"/>
  <c r="AD2" i="11"/>
  <c r="AH4" i="10"/>
  <c r="AH5" i="10"/>
  <c r="D2" i="10"/>
  <c r="H2" i="10"/>
  <c r="P2" i="10"/>
  <c r="K2" i="10"/>
  <c r="S2" i="10"/>
  <c r="E2" i="10"/>
  <c r="I2" i="10"/>
  <c r="M2" i="10"/>
  <c r="U2" i="10"/>
  <c r="AC2" i="10"/>
  <c r="AG2" i="10"/>
  <c r="G2" i="10"/>
  <c r="F2" i="10"/>
  <c r="N2" i="10"/>
  <c r="R2" i="10"/>
  <c r="V2" i="10"/>
  <c r="Z2" i="10"/>
  <c r="AH5" i="9"/>
  <c r="K2" i="9"/>
  <c r="AE2" i="9"/>
  <c r="D2" i="9"/>
  <c r="H2" i="9"/>
  <c r="L2" i="9"/>
  <c r="P2" i="9"/>
  <c r="T2" i="9"/>
  <c r="X2" i="9"/>
  <c r="AB2" i="9"/>
  <c r="AF2" i="9"/>
  <c r="E2" i="9"/>
  <c r="Y2" i="9"/>
  <c r="AG2" i="9"/>
  <c r="G2" i="9"/>
  <c r="F2" i="9"/>
  <c r="N2" i="9"/>
  <c r="R2" i="9"/>
  <c r="V2" i="9"/>
  <c r="AD2" i="9"/>
  <c r="I2" i="8"/>
  <c r="I4" i="8" s="1"/>
  <c r="M2" i="8"/>
  <c r="M4" i="8" s="1"/>
  <c r="U2" i="8"/>
  <c r="U4" i="8" s="1"/>
  <c r="Y2" i="8"/>
  <c r="Y5" i="8" s="1"/>
  <c r="D5" i="8"/>
  <c r="AH5" i="8"/>
  <c r="E4" i="8"/>
  <c r="E5" i="8"/>
  <c r="F5" i="8"/>
  <c r="F4" i="8"/>
  <c r="V5" i="8"/>
  <c r="V4" i="8"/>
  <c r="AE5" i="8"/>
  <c r="AE4" i="8"/>
  <c r="J4" i="8"/>
  <c r="N4" i="8"/>
  <c r="R5" i="8"/>
  <c r="R4" i="8"/>
  <c r="Z5" i="8"/>
  <c r="Z4" i="8"/>
  <c r="K5" i="8"/>
  <c r="K4" i="8"/>
  <c r="O5" i="8"/>
  <c r="S5" i="8"/>
  <c r="S4" i="8"/>
  <c r="W5" i="8"/>
  <c r="H5" i="8"/>
  <c r="H4" i="8"/>
  <c r="L5" i="8"/>
  <c r="L4" i="8"/>
  <c r="AB4" i="8"/>
  <c r="AF5" i="8"/>
  <c r="AF4" i="8"/>
  <c r="AE1" i="7"/>
  <c r="AE2" i="7" s="1"/>
  <c r="AA1" i="7"/>
  <c r="AA2" i="7" s="1"/>
  <c r="W1" i="7"/>
  <c r="W2" i="7" s="1"/>
  <c r="S1" i="7"/>
  <c r="S2" i="7" s="1"/>
  <c r="O1" i="7"/>
  <c r="O2" i="7" s="1"/>
  <c r="K1" i="7"/>
  <c r="K2" i="7" s="1"/>
  <c r="G1" i="7"/>
  <c r="G2" i="7" s="1"/>
  <c r="AD1" i="7"/>
  <c r="Z1" i="7"/>
  <c r="Z2" i="7" s="1"/>
  <c r="V1" i="7"/>
  <c r="V2" i="7" s="1"/>
  <c r="R1" i="7"/>
  <c r="R2" i="7" s="1"/>
  <c r="N1" i="7"/>
  <c r="J1" i="7"/>
  <c r="J2" i="7" s="1"/>
  <c r="F1" i="7"/>
  <c r="F2" i="7" s="1"/>
  <c r="AG1" i="7"/>
  <c r="AG2" i="7" s="1"/>
  <c r="AC1" i="7"/>
  <c r="AC2" i="7" s="1"/>
  <c r="Y1" i="7"/>
  <c r="Y2" i="7" s="1"/>
  <c r="U1" i="7"/>
  <c r="U2" i="7" s="1"/>
  <c r="Q1" i="7"/>
  <c r="Q2" i="7" s="1"/>
  <c r="M1" i="7"/>
  <c r="M2" i="7" s="1"/>
  <c r="I1" i="7"/>
  <c r="I2" i="7" s="1"/>
  <c r="E1" i="7"/>
  <c r="E2" i="7" s="1"/>
  <c r="AF1" i="7"/>
  <c r="AF2" i="7" s="1"/>
  <c r="AB1" i="7"/>
  <c r="X1" i="7"/>
  <c r="X2" i="7" s="1"/>
  <c r="T1" i="7"/>
  <c r="T2" i="7" s="1"/>
  <c r="P1" i="7"/>
  <c r="P2" i="7" s="1"/>
  <c r="L1" i="7"/>
  <c r="H1" i="7"/>
  <c r="H2" i="7" s="1"/>
  <c r="D1" i="7"/>
  <c r="D2" i="7" s="1"/>
  <c r="D5" i="7" s="1"/>
  <c r="L2" i="7"/>
  <c r="AB2" i="7"/>
  <c r="N2" i="7"/>
  <c r="AD2" i="7"/>
  <c r="AG5" i="18" l="1"/>
  <c r="T4" i="8"/>
  <c r="G4" i="8"/>
  <c r="P4" i="8"/>
  <c r="AD4" i="8"/>
  <c r="AH5" i="7"/>
  <c r="AH5" i="18"/>
  <c r="AA4" i="8"/>
  <c r="AH5" i="14"/>
  <c r="AC5" i="8"/>
  <c r="AC4" i="8"/>
  <c r="AH4" i="15"/>
  <c r="M5" i="8"/>
  <c r="X4" i="8"/>
  <c r="AG4" i="8"/>
  <c r="AG5" i="8"/>
  <c r="X5" i="7"/>
  <c r="X4" i="7"/>
  <c r="Y5" i="7"/>
  <c r="Y4" i="7"/>
  <c r="AD5" i="15"/>
  <c r="AD4" i="15"/>
  <c r="AD4" i="10"/>
  <c r="AD5" i="10"/>
  <c r="I5" i="7"/>
  <c r="I4" i="7"/>
  <c r="E5" i="7"/>
  <c r="E4" i="7"/>
  <c r="V4" i="7"/>
  <c r="V5" i="7"/>
  <c r="AD5" i="18"/>
  <c r="AD4" i="18"/>
  <c r="H5" i="7"/>
  <c r="H4" i="7"/>
  <c r="Z4" i="7"/>
  <c r="Z5" i="7"/>
  <c r="U5" i="7"/>
  <c r="U4" i="7"/>
  <c r="N4" i="7"/>
  <c r="N5" i="7"/>
  <c r="K4" i="7"/>
  <c r="K5" i="7"/>
  <c r="AA4" i="7"/>
  <c r="AA5" i="7"/>
  <c r="Y4" i="8"/>
  <c r="AH4" i="16"/>
  <c r="T5" i="7"/>
  <c r="T4" i="7"/>
  <c r="I5" i="8"/>
  <c r="J4" i="7"/>
  <c r="J5" i="7"/>
  <c r="O4" i="7"/>
  <c r="O5" i="7"/>
  <c r="L5" i="7"/>
  <c r="L4" i="7"/>
  <c r="M5" i="7"/>
  <c r="M4" i="7"/>
  <c r="AC5" i="7"/>
  <c r="AC4" i="7"/>
  <c r="S4" i="7"/>
  <c r="S5" i="7"/>
  <c r="D4" i="7"/>
  <c r="K4" i="18"/>
  <c r="AD4" i="7"/>
  <c r="AD5" i="7"/>
  <c r="AE4" i="7"/>
  <c r="AE5" i="7"/>
  <c r="F4" i="7"/>
  <c r="F5" i="7"/>
  <c r="AB5" i="7"/>
  <c r="AB4" i="7"/>
  <c r="P5" i="7"/>
  <c r="P4" i="7"/>
  <c r="AF5" i="7"/>
  <c r="AF4" i="7"/>
  <c r="Q5" i="7"/>
  <c r="Q4" i="7"/>
  <c r="AG5" i="7"/>
  <c r="AG4" i="7"/>
  <c r="R4" i="7"/>
  <c r="R5" i="7"/>
  <c r="G4" i="7"/>
  <c r="G5" i="7"/>
  <c r="W4" i="7"/>
  <c r="W5" i="7"/>
  <c r="J5" i="18"/>
  <c r="J4" i="18"/>
  <c r="D5" i="18"/>
  <c r="D4" i="18"/>
  <c r="AE5" i="18"/>
  <c r="AE4" i="18"/>
  <c r="V5" i="18"/>
  <c r="V4" i="18"/>
  <c r="F5" i="18"/>
  <c r="F4" i="18"/>
  <c r="P5" i="18"/>
  <c r="P4" i="18"/>
  <c r="AC4" i="18"/>
  <c r="AC5" i="18"/>
  <c r="M4" i="18"/>
  <c r="M5" i="18"/>
  <c r="AA5" i="18"/>
  <c r="AA4" i="18"/>
  <c r="AB5" i="18"/>
  <c r="AB4" i="18"/>
  <c r="Y4" i="18"/>
  <c r="Y5" i="18"/>
  <c r="W5" i="18"/>
  <c r="W4" i="18"/>
  <c r="R4" i="18"/>
  <c r="R5" i="18"/>
  <c r="L5" i="18"/>
  <c r="L4" i="18"/>
  <c r="I4" i="18"/>
  <c r="I5" i="18"/>
  <c r="N5" i="18"/>
  <c r="N4" i="18"/>
  <c r="X5" i="18"/>
  <c r="X4" i="18"/>
  <c r="H5" i="18"/>
  <c r="H4" i="18"/>
  <c r="U4" i="18"/>
  <c r="U5" i="18"/>
  <c r="E4" i="18"/>
  <c r="E5" i="18"/>
  <c r="S5" i="18"/>
  <c r="S4" i="18"/>
  <c r="Z5" i="18"/>
  <c r="Z4" i="18"/>
  <c r="T5" i="18"/>
  <c r="T4" i="18"/>
  <c r="Q4" i="18"/>
  <c r="Q5" i="18"/>
  <c r="O5" i="18"/>
  <c r="O4" i="18"/>
  <c r="AC4" i="17"/>
  <c r="AC5" i="17"/>
  <c r="AD5" i="17"/>
  <c r="AD4" i="17"/>
  <c r="N4" i="17"/>
  <c r="N5" i="17"/>
  <c r="M4" i="17"/>
  <c r="M5" i="17"/>
  <c r="W5" i="17"/>
  <c r="W4" i="17"/>
  <c r="AB5" i="17"/>
  <c r="AB4" i="17"/>
  <c r="L5" i="17"/>
  <c r="L4" i="17"/>
  <c r="S5" i="17"/>
  <c r="S4" i="17"/>
  <c r="Z4" i="17"/>
  <c r="Z5" i="17"/>
  <c r="J4" i="17"/>
  <c r="J5" i="17"/>
  <c r="Y4" i="17"/>
  <c r="Y5" i="17"/>
  <c r="I4" i="17"/>
  <c r="I5" i="17"/>
  <c r="O5" i="17"/>
  <c r="O4" i="17"/>
  <c r="X5" i="17"/>
  <c r="X4" i="17"/>
  <c r="H5" i="17"/>
  <c r="H4" i="17"/>
  <c r="K5" i="17"/>
  <c r="K4" i="17"/>
  <c r="V4" i="17"/>
  <c r="V5" i="17"/>
  <c r="F5" i="17"/>
  <c r="F4" i="17"/>
  <c r="U4" i="17"/>
  <c r="U5" i="17"/>
  <c r="E4" i="17"/>
  <c r="E5" i="17"/>
  <c r="G5" i="17"/>
  <c r="G4" i="17"/>
  <c r="T5" i="17"/>
  <c r="T4" i="17"/>
  <c r="D5" i="17"/>
  <c r="D4" i="17"/>
  <c r="R5" i="17"/>
  <c r="R4" i="17"/>
  <c r="AG4" i="17"/>
  <c r="AG5" i="17"/>
  <c r="Q4" i="17"/>
  <c r="Q5" i="17"/>
  <c r="AE5" i="17"/>
  <c r="AE4" i="17"/>
  <c r="AF5" i="17"/>
  <c r="AF4" i="17"/>
  <c r="P5" i="17"/>
  <c r="P4" i="17"/>
  <c r="AA5" i="17"/>
  <c r="AA4" i="17"/>
  <c r="N4" i="16"/>
  <c r="N5" i="16"/>
  <c r="Y4" i="16"/>
  <c r="Y5" i="16"/>
  <c r="I4" i="16"/>
  <c r="I5" i="16"/>
  <c r="O5" i="16"/>
  <c r="O4" i="16"/>
  <c r="X5" i="16"/>
  <c r="X4" i="16"/>
  <c r="H5" i="16"/>
  <c r="H4" i="16"/>
  <c r="S5" i="16"/>
  <c r="S4" i="16"/>
  <c r="Z4" i="16"/>
  <c r="Z5" i="16"/>
  <c r="J5" i="16"/>
  <c r="J4" i="16"/>
  <c r="K5" i="16"/>
  <c r="K4" i="16"/>
  <c r="U4" i="16"/>
  <c r="U5" i="16"/>
  <c r="E4" i="16"/>
  <c r="E5" i="16"/>
  <c r="G5" i="16"/>
  <c r="G4" i="16"/>
  <c r="T5" i="16"/>
  <c r="T4" i="16"/>
  <c r="D5" i="16"/>
  <c r="D4" i="16"/>
  <c r="AD4" i="16"/>
  <c r="AD5" i="16"/>
  <c r="V5" i="16"/>
  <c r="V4" i="16"/>
  <c r="F4" i="16"/>
  <c r="F5" i="16"/>
  <c r="AG4" i="16"/>
  <c r="AG5" i="16"/>
  <c r="Q4" i="16"/>
  <c r="Q5" i="16"/>
  <c r="AE5" i="16"/>
  <c r="AE4" i="16"/>
  <c r="AF5" i="16"/>
  <c r="AF4" i="16"/>
  <c r="P5" i="16"/>
  <c r="P4" i="16"/>
  <c r="R4" i="16"/>
  <c r="R5" i="16"/>
  <c r="AA5" i="16"/>
  <c r="AA4" i="16"/>
  <c r="AC4" i="16"/>
  <c r="AC5" i="16"/>
  <c r="M4" i="16"/>
  <c r="M5" i="16"/>
  <c r="W5" i="16"/>
  <c r="W4" i="16"/>
  <c r="AB5" i="16"/>
  <c r="AB4" i="16"/>
  <c r="L5" i="16"/>
  <c r="L4" i="16"/>
  <c r="G5" i="15"/>
  <c r="AG4" i="15"/>
  <c r="AG5" i="15"/>
  <c r="AF5" i="15"/>
  <c r="AF4" i="15"/>
  <c r="N5" i="15"/>
  <c r="N4" i="15"/>
  <c r="T5" i="15"/>
  <c r="T4" i="15"/>
  <c r="AC4" i="15"/>
  <c r="AC5" i="15"/>
  <c r="M4" i="15"/>
  <c r="M5" i="15"/>
  <c r="X5" i="15"/>
  <c r="X4" i="15"/>
  <c r="AA4" i="15"/>
  <c r="AA5" i="15"/>
  <c r="K4" i="15"/>
  <c r="K5" i="15"/>
  <c r="AB5" i="15"/>
  <c r="AB4" i="15"/>
  <c r="AE4" i="15"/>
  <c r="AE5" i="15"/>
  <c r="Z5" i="15"/>
  <c r="Z4" i="15"/>
  <c r="J4" i="15"/>
  <c r="J5" i="15"/>
  <c r="P5" i="15"/>
  <c r="P4" i="15"/>
  <c r="Y4" i="15"/>
  <c r="Y5" i="15"/>
  <c r="I4" i="15"/>
  <c r="I5" i="15"/>
  <c r="L5" i="15"/>
  <c r="L4" i="15"/>
  <c r="W4" i="15"/>
  <c r="W5" i="15"/>
  <c r="R5" i="15"/>
  <c r="R4" i="15"/>
  <c r="Q4" i="15"/>
  <c r="Q5" i="15"/>
  <c r="O5" i="15"/>
  <c r="O4" i="15"/>
  <c r="V5" i="15"/>
  <c r="V4" i="15"/>
  <c r="F5" i="15"/>
  <c r="F4" i="15"/>
  <c r="H5" i="15"/>
  <c r="H4" i="15"/>
  <c r="U4" i="15"/>
  <c r="U5" i="15"/>
  <c r="E4" i="15"/>
  <c r="E5" i="15"/>
  <c r="D5" i="15"/>
  <c r="D4" i="15"/>
  <c r="S4" i="15"/>
  <c r="S5" i="15"/>
  <c r="Q4" i="14"/>
  <c r="Q5" i="14"/>
  <c r="AD5" i="14"/>
  <c r="AD4" i="14"/>
  <c r="N4" i="14"/>
  <c r="N5" i="14"/>
  <c r="AC4" i="14"/>
  <c r="AC5" i="14"/>
  <c r="M4" i="14"/>
  <c r="M5" i="14"/>
  <c r="AA5" i="14"/>
  <c r="AA4" i="14"/>
  <c r="K5" i="14"/>
  <c r="K4" i="14"/>
  <c r="X5" i="14"/>
  <c r="X4" i="14"/>
  <c r="H5" i="14"/>
  <c r="H4" i="14"/>
  <c r="AG4" i="14"/>
  <c r="AG5" i="14"/>
  <c r="Z5" i="14"/>
  <c r="Z4" i="14"/>
  <c r="J5" i="14"/>
  <c r="J4" i="14"/>
  <c r="Y4" i="14"/>
  <c r="Y5" i="14"/>
  <c r="I4" i="14"/>
  <c r="I5" i="14"/>
  <c r="W5" i="14"/>
  <c r="W4" i="14"/>
  <c r="G5" i="14"/>
  <c r="G4" i="14"/>
  <c r="T5" i="14"/>
  <c r="T4" i="14"/>
  <c r="D5" i="14"/>
  <c r="D4" i="14"/>
  <c r="V4" i="14"/>
  <c r="V5" i="14"/>
  <c r="F4" i="14"/>
  <c r="F5" i="14"/>
  <c r="U4" i="14"/>
  <c r="U5" i="14"/>
  <c r="E4" i="14"/>
  <c r="E5" i="14"/>
  <c r="S5" i="14"/>
  <c r="S4" i="14"/>
  <c r="AF5" i="14"/>
  <c r="AF4" i="14"/>
  <c r="P5" i="14"/>
  <c r="P4" i="14"/>
  <c r="R5" i="14"/>
  <c r="R4" i="14"/>
  <c r="AE5" i="14"/>
  <c r="AE4" i="14"/>
  <c r="O5" i="14"/>
  <c r="O4" i="14"/>
  <c r="AB5" i="14"/>
  <c r="AB4" i="14"/>
  <c r="L5" i="14"/>
  <c r="L4" i="14"/>
  <c r="V4" i="13"/>
  <c r="V5" i="13"/>
  <c r="F5" i="13"/>
  <c r="F4" i="13"/>
  <c r="AC4" i="13"/>
  <c r="AC5" i="13"/>
  <c r="M4" i="13"/>
  <c r="M5" i="13"/>
  <c r="AB5" i="13"/>
  <c r="AB4" i="13"/>
  <c r="H5" i="13"/>
  <c r="H4" i="13"/>
  <c r="G5" i="13"/>
  <c r="G4" i="13"/>
  <c r="R5" i="13"/>
  <c r="R4" i="13"/>
  <c r="P5" i="13"/>
  <c r="P4" i="13"/>
  <c r="Y4" i="13"/>
  <c r="Y5" i="13"/>
  <c r="I4" i="13"/>
  <c r="I5" i="13"/>
  <c r="X5" i="13"/>
  <c r="X4" i="13"/>
  <c r="AE5" i="13"/>
  <c r="AE4" i="13"/>
  <c r="AA5" i="13"/>
  <c r="AA4" i="13"/>
  <c r="N5" i="13"/>
  <c r="N4" i="13"/>
  <c r="D5" i="13"/>
  <c r="D4" i="13"/>
  <c r="U4" i="13"/>
  <c r="U5" i="13"/>
  <c r="E4" i="13"/>
  <c r="E5" i="13"/>
  <c r="T5" i="13"/>
  <c r="T4" i="13"/>
  <c r="W5" i="13"/>
  <c r="W4" i="13"/>
  <c r="S5" i="13"/>
  <c r="S4" i="13"/>
  <c r="Z5" i="13"/>
  <c r="Z4" i="13"/>
  <c r="J4" i="13"/>
  <c r="J5" i="13"/>
  <c r="AG4" i="13"/>
  <c r="AG5" i="13"/>
  <c r="Q4" i="13"/>
  <c r="Q5" i="13"/>
  <c r="AF5" i="13"/>
  <c r="AF4" i="13"/>
  <c r="L5" i="13"/>
  <c r="L4" i="13"/>
  <c r="O5" i="13"/>
  <c r="O4" i="13"/>
  <c r="K5" i="13"/>
  <c r="K4" i="13"/>
  <c r="S5" i="12"/>
  <c r="S4" i="12"/>
  <c r="X5" i="12"/>
  <c r="X4" i="12"/>
  <c r="Z4" i="12"/>
  <c r="Z5" i="12"/>
  <c r="J5" i="12"/>
  <c r="J4" i="12"/>
  <c r="K5" i="12"/>
  <c r="K4" i="12"/>
  <c r="U4" i="12"/>
  <c r="U5" i="12"/>
  <c r="E4" i="12"/>
  <c r="E5" i="12"/>
  <c r="T5" i="12"/>
  <c r="T4" i="12"/>
  <c r="D5" i="12"/>
  <c r="D4" i="12"/>
  <c r="G5" i="12"/>
  <c r="G4" i="12"/>
  <c r="AD4" i="12"/>
  <c r="AD5" i="12"/>
  <c r="I4" i="12"/>
  <c r="I5" i="12"/>
  <c r="H5" i="12"/>
  <c r="H4" i="12"/>
  <c r="V5" i="12"/>
  <c r="V4" i="12"/>
  <c r="F4" i="12"/>
  <c r="F5" i="12"/>
  <c r="AG4" i="12"/>
  <c r="AG5" i="12"/>
  <c r="Q4" i="12"/>
  <c r="Q5" i="12"/>
  <c r="AF5" i="12"/>
  <c r="AF4" i="12"/>
  <c r="P5" i="12"/>
  <c r="P4" i="12"/>
  <c r="AE5" i="12"/>
  <c r="AE4" i="12"/>
  <c r="N4" i="12"/>
  <c r="N5" i="12"/>
  <c r="Y4" i="12"/>
  <c r="Y5" i="12"/>
  <c r="O5" i="12"/>
  <c r="O4" i="12"/>
  <c r="R4" i="12"/>
  <c r="R5" i="12"/>
  <c r="AA5" i="12"/>
  <c r="AA4" i="12"/>
  <c r="AC4" i="12"/>
  <c r="AC5" i="12"/>
  <c r="M4" i="12"/>
  <c r="M5" i="12"/>
  <c r="AB5" i="12"/>
  <c r="AB4" i="12"/>
  <c r="L5" i="12"/>
  <c r="L4" i="12"/>
  <c r="W5" i="12"/>
  <c r="W4" i="12"/>
  <c r="AD4" i="11"/>
  <c r="AD5" i="11"/>
  <c r="W5" i="11"/>
  <c r="W4" i="11"/>
  <c r="O5" i="11"/>
  <c r="O4" i="11"/>
  <c r="Z5" i="11"/>
  <c r="Z4" i="11"/>
  <c r="J5" i="11"/>
  <c r="J4" i="11"/>
  <c r="Y4" i="11"/>
  <c r="Y5" i="11"/>
  <c r="I4" i="11"/>
  <c r="I5" i="11"/>
  <c r="K5" i="11"/>
  <c r="K4" i="11"/>
  <c r="T5" i="11"/>
  <c r="T4" i="11"/>
  <c r="D5" i="11"/>
  <c r="D4" i="11"/>
  <c r="G5" i="11"/>
  <c r="G4" i="11"/>
  <c r="N5" i="11"/>
  <c r="N4" i="11"/>
  <c r="M4" i="11"/>
  <c r="M5" i="11"/>
  <c r="H5" i="11"/>
  <c r="H4" i="11"/>
  <c r="V4" i="11"/>
  <c r="V5" i="11"/>
  <c r="F4" i="11"/>
  <c r="F5" i="11"/>
  <c r="U4" i="11"/>
  <c r="U5" i="11"/>
  <c r="E4" i="11"/>
  <c r="E5" i="11"/>
  <c r="AF5" i="11"/>
  <c r="AF4" i="11"/>
  <c r="P5" i="11"/>
  <c r="P4" i="11"/>
  <c r="AA5" i="11"/>
  <c r="AA4" i="11"/>
  <c r="AC4" i="11"/>
  <c r="AC5" i="11"/>
  <c r="X5" i="11"/>
  <c r="X4" i="11"/>
  <c r="R4" i="11"/>
  <c r="R5" i="11"/>
  <c r="AG4" i="11"/>
  <c r="AG5" i="11"/>
  <c r="Q4" i="11"/>
  <c r="Q5" i="11"/>
  <c r="AE5" i="11"/>
  <c r="AE4" i="11"/>
  <c r="AB5" i="11"/>
  <c r="AB4" i="11"/>
  <c r="L5" i="11"/>
  <c r="L4" i="11"/>
  <c r="S5" i="11"/>
  <c r="S4" i="11"/>
  <c r="V5" i="10"/>
  <c r="V4" i="10"/>
  <c r="E4" i="10"/>
  <c r="E5" i="10"/>
  <c r="L5" i="10"/>
  <c r="L4" i="10"/>
  <c r="F4" i="10"/>
  <c r="F5" i="10"/>
  <c r="G5" i="10"/>
  <c r="G4" i="10"/>
  <c r="U4" i="10"/>
  <c r="U5" i="10"/>
  <c r="AF5" i="10"/>
  <c r="AF4" i="10"/>
  <c r="P5" i="10"/>
  <c r="P4" i="10"/>
  <c r="R4" i="10"/>
  <c r="R5" i="10"/>
  <c r="AE5" i="10"/>
  <c r="AE4" i="10"/>
  <c r="AG4" i="10"/>
  <c r="AG5" i="10"/>
  <c r="Q4" i="10"/>
  <c r="Q5" i="10"/>
  <c r="AB5" i="10"/>
  <c r="AB4" i="10"/>
  <c r="N4" i="10"/>
  <c r="N5" i="10"/>
  <c r="W5" i="10"/>
  <c r="W4" i="10"/>
  <c r="AC4" i="10"/>
  <c r="AC5" i="10"/>
  <c r="M4" i="10"/>
  <c r="M5" i="10"/>
  <c r="S5" i="10"/>
  <c r="S4" i="10"/>
  <c r="X5" i="10"/>
  <c r="X4" i="10"/>
  <c r="H5" i="10"/>
  <c r="H4" i="10"/>
  <c r="AA5" i="10"/>
  <c r="AA4" i="10"/>
  <c r="Z4" i="10"/>
  <c r="Z5" i="10"/>
  <c r="J5" i="10"/>
  <c r="J4" i="10"/>
  <c r="O5" i="10"/>
  <c r="O4" i="10"/>
  <c r="Y4" i="10"/>
  <c r="Y5" i="10"/>
  <c r="I4" i="10"/>
  <c r="I5" i="10"/>
  <c r="K5" i="10"/>
  <c r="K4" i="10"/>
  <c r="T5" i="10"/>
  <c r="T4" i="10"/>
  <c r="D5" i="10"/>
  <c r="D4" i="10"/>
  <c r="AD4" i="9"/>
  <c r="AD5" i="9"/>
  <c r="N4" i="9"/>
  <c r="N5" i="9"/>
  <c r="AC4" i="9"/>
  <c r="AC5" i="9"/>
  <c r="AB5" i="9"/>
  <c r="AB4" i="9"/>
  <c r="W5" i="9"/>
  <c r="W4" i="9"/>
  <c r="J5" i="9"/>
  <c r="J4" i="9"/>
  <c r="Y4" i="9"/>
  <c r="Y5" i="9"/>
  <c r="I4" i="9"/>
  <c r="I5" i="9"/>
  <c r="H5" i="9"/>
  <c r="H4" i="9"/>
  <c r="K5" i="9"/>
  <c r="K4" i="9"/>
  <c r="V5" i="9"/>
  <c r="V4" i="9"/>
  <c r="F4" i="9"/>
  <c r="F5" i="9"/>
  <c r="G5" i="9"/>
  <c r="G4" i="9"/>
  <c r="U4" i="9"/>
  <c r="U5" i="9"/>
  <c r="E4" i="9"/>
  <c r="E5" i="9"/>
  <c r="T5" i="9"/>
  <c r="T4" i="9"/>
  <c r="D5" i="9"/>
  <c r="D4" i="9"/>
  <c r="S5" i="9"/>
  <c r="S4" i="9"/>
  <c r="M4" i="9"/>
  <c r="M5" i="9"/>
  <c r="L5" i="9"/>
  <c r="L4" i="9"/>
  <c r="Z4" i="9"/>
  <c r="Z5" i="9"/>
  <c r="O5" i="9"/>
  <c r="O4" i="9"/>
  <c r="X5" i="9"/>
  <c r="X4" i="9"/>
  <c r="R4" i="9"/>
  <c r="R5" i="9"/>
  <c r="AA5" i="9"/>
  <c r="AA4" i="9"/>
  <c r="AG4" i="9"/>
  <c r="AG5" i="9"/>
  <c r="Q4" i="9"/>
  <c r="Q5" i="9"/>
  <c r="AF5" i="9"/>
  <c r="AF4" i="9"/>
  <c r="P5" i="9"/>
  <c r="P4" i="9"/>
  <c r="AE5" i="9"/>
  <c r="AE4" i="9"/>
  <c r="Q4" i="8"/>
  <c r="U5" i="8"/>
</calcChain>
</file>

<file path=xl/sharedStrings.xml><?xml version="1.0" encoding="utf-8"?>
<sst xmlns="http://schemas.openxmlformats.org/spreadsheetml/2006/main" count="484" uniqueCount="352">
  <si>
    <t>西暦</t>
    <rPh sb="0" eb="2">
      <t>セイレキ</t>
    </rPh>
    <phoneticPr fontId="1"/>
  </si>
  <si>
    <t>月</t>
    <rPh sb="0" eb="1">
      <t>ガツ</t>
    </rPh>
    <phoneticPr fontId="1"/>
  </si>
  <si>
    <t>職名</t>
  </si>
  <si>
    <t>氏名</t>
  </si>
  <si>
    <t>校長</t>
  </si>
  <si>
    <t>教頭</t>
  </si>
  <si>
    <t>教諭</t>
  </si>
  <si>
    <t>講師</t>
  </si>
  <si>
    <t>助教諭</t>
  </si>
  <si>
    <t>養護教諭</t>
  </si>
  <si>
    <t>主任実習助手</t>
  </si>
  <si>
    <t>実習助手</t>
  </si>
  <si>
    <t>名前</t>
    <rPh sb="0" eb="2">
      <t>ナマエ</t>
    </rPh>
    <phoneticPr fontId="1"/>
  </si>
  <si>
    <t>職名</t>
    <rPh sb="0" eb="2">
      <t>ショクメイ</t>
    </rPh>
    <phoneticPr fontId="1"/>
  </si>
  <si>
    <t>日</t>
    <rPh sb="0" eb="1">
      <t>ニチ</t>
    </rPh>
    <phoneticPr fontId="1"/>
  </si>
  <si>
    <t>非表示列</t>
    <rPh sb="0" eb="3">
      <t>ヒヒョウジ</t>
    </rPh>
    <rPh sb="3" eb="4">
      <t>レツ</t>
    </rPh>
    <phoneticPr fontId="1"/>
  </si>
  <si>
    <t>祝日なら１→</t>
    <rPh sb="0" eb="2">
      <t>シュクジツ</t>
    </rPh>
    <phoneticPr fontId="1"/>
  </si>
  <si>
    <t>土日で働いた日を入れてね</t>
    <rPh sb="0" eb="2">
      <t>ドニチ</t>
    </rPh>
    <rPh sb="3" eb="4">
      <t>ハタラ</t>
    </rPh>
    <rPh sb="6" eb="7">
      <t>ヒ</t>
    </rPh>
    <rPh sb="8" eb="9">
      <t>イ</t>
    </rPh>
    <phoneticPr fontId="1"/>
  </si>
  <si>
    <t>職員番号</t>
    <rPh sb="0" eb="4">
      <t>ショクインバンゴウ</t>
    </rPh>
    <phoneticPr fontId="1"/>
  </si>
  <si>
    <t>↓ここ</t>
    <phoneticPr fontId="1"/>
  </si>
  <si>
    <t>　から</t>
    <phoneticPr fontId="1"/>
  </si>
  <si>
    <t>職員番号：</t>
    <rPh sb="0" eb="4">
      <t>ショクインバンゴウ</t>
    </rPh>
    <phoneticPr fontId="1"/>
  </si>
  <si>
    <t>日　　付：</t>
    <rPh sb="0" eb="1">
      <t>ヒ</t>
    </rPh>
    <rPh sb="3" eb="4">
      <t>ツキ</t>
    </rPh>
    <phoneticPr fontId="1"/>
  </si>
  <si>
    <t>名　　前：</t>
    <rPh sb="0" eb="1">
      <t>ナ</t>
    </rPh>
    <rPh sb="3" eb="4">
      <t>マエ</t>
    </rPh>
    <phoneticPr fontId="1"/>
  </si>
  <si>
    <t>うるう年</t>
    <rPh sb="3" eb="4">
      <t>ドシ</t>
    </rPh>
    <phoneticPr fontId="1"/>
  </si>
  <si>
    <t>January</t>
  </si>
  <si>
    <t>April</t>
    <phoneticPr fontId="1"/>
  </si>
  <si>
    <t>May</t>
    <phoneticPr fontId="1"/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</si>
  <si>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</si>
  <si>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</si>
  <si>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</si>
  <si>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</si>
  <si>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</si>
  <si>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</si>
  <si>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</si>
  <si>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</si>
  <si>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March</t>
  </si>
  <si>
    <t>位置はうごかさないでね</t>
    <rPh sb="0" eb="2">
      <t>イチ</t>
    </rPh>
    <phoneticPr fontId="1"/>
  </si>
  <si>
    <t>つまり</t>
    <phoneticPr fontId="1"/>
  </si>
  <si>
    <t>来年は</t>
    <rPh sb="0" eb="2">
      <t>ライネン</t>
    </rPh>
    <phoneticPr fontId="1"/>
  </si>
  <si>
    <t>年</t>
    <rPh sb="0" eb="1">
      <t>ネン</t>
    </rPh>
    <phoneticPr fontId="1"/>
  </si>
  <si>
    <t>↑</t>
    <phoneticPr fontId="1"/>
  </si>
  <si>
    <t>カギがあったらロック中</t>
    <rPh sb="10" eb="11">
      <t>チュウ</t>
    </rPh>
    <phoneticPr fontId="1"/>
  </si>
  <si>
    <t>パスワード</t>
    <phoneticPr fontId="1"/>
  </si>
  <si>
    <t>管理</t>
    <rPh sb="0" eb="2">
      <t>カンリ</t>
    </rPh>
    <phoneticPr fontId="1"/>
  </si>
  <si>
    <t>設定→</t>
    <rPh sb="0" eb="2">
      <t>セッテイ</t>
    </rPh>
    <phoneticPr fontId="1"/>
  </si>
  <si>
    <t>↑文字列でよろしく</t>
    <rPh sb="1" eb="4">
      <t>モジレツ</t>
    </rPh>
    <phoneticPr fontId="1"/>
  </si>
  <si>
    <t>今年度は</t>
    <rPh sb="0" eb="3">
      <t>コンネンド</t>
    </rPh>
    <phoneticPr fontId="1"/>
  </si>
  <si>
    <t>年度です！</t>
    <rPh sb="0" eb="1">
      <t>ネン</t>
    </rPh>
    <rPh sb="1" eb="2">
      <t>ド</t>
    </rPh>
    <phoneticPr fontId="1"/>
  </si>
  <si>
    <t>↑更新したら保存→エクセル再起動</t>
    <rPh sb="1" eb="3">
      <t>コウシン</t>
    </rPh>
    <rPh sb="6" eb="8">
      <t>ホゾン</t>
    </rPh>
    <rPh sb="13" eb="16">
      <t>サイキドウ</t>
    </rPh>
    <phoneticPr fontId="1"/>
  </si>
  <si>
    <t>pass</t>
    <phoneticPr fontId="1"/>
  </si>
  <si>
    <t>島村 まなみ</t>
  </si>
  <si>
    <t>原 ひかり</t>
  </si>
  <si>
    <t>藤井 勝男</t>
  </si>
  <si>
    <t>島田 正雄</t>
  </si>
  <si>
    <t>伏見 美優</t>
  </si>
  <si>
    <t>坂田 忠</t>
  </si>
  <si>
    <t>吉田 瑞希</t>
  </si>
  <si>
    <t>佐藤 昭大</t>
  </si>
  <si>
    <t>河村 貴亮</t>
  </si>
  <si>
    <t>浜名 康</t>
  </si>
  <si>
    <t>熊代 滋弥</t>
  </si>
  <si>
    <t>鈴木 玲衣</t>
  </si>
  <si>
    <t>姫野 あかね</t>
  </si>
  <si>
    <t>植田 儀康</t>
  </si>
  <si>
    <t>秋山 瞳</t>
  </si>
  <si>
    <t>土屋 恒樹</t>
  </si>
  <si>
    <t>進藤 いずみ</t>
  </si>
  <si>
    <t>吉村 重治</t>
  </si>
  <si>
    <t>小町 慶季</t>
  </si>
  <si>
    <t>甲斐 辰基</t>
  </si>
  <si>
    <t>佐々木 絵梨</t>
  </si>
  <si>
    <t>岩瀬 道雄</t>
  </si>
  <si>
    <t>西野 凛</t>
  </si>
  <si>
    <t>稲葉 義雄</t>
  </si>
  <si>
    <t>石川 哲郎</t>
  </si>
  <si>
    <t>黒後 昇</t>
  </si>
  <si>
    <t>三村 晋一</t>
  </si>
  <si>
    <t>早坂 茂男</t>
  </si>
  <si>
    <t>古川 彩</t>
  </si>
  <si>
    <t>美藤 忍</t>
  </si>
  <si>
    <t>飯沼 進</t>
  </si>
  <si>
    <t>持田 利男</t>
  </si>
  <si>
    <t>髙良 大二郎</t>
  </si>
  <si>
    <t>稲葉 唯</t>
  </si>
  <si>
    <t>山田 福太郎</t>
  </si>
  <si>
    <t>松井 美希</t>
  </si>
  <si>
    <t>鎮目 華純</t>
  </si>
  <si>
    <t>谷沢 和美</t>
  </si>
  <si>
    <t>大嶋 希</t>
  </si>
  <si>
    <t>清水 脩也</t>
  </si>
  <si>
    <t>新井 栞</t>
  </si>
  <si>
    <t>近賀 孝広</t>
  </si>
  <si>
    <t>馬場 大輔</t>
  </si>
  <si>
    <t>矢沢 学</t>
  </si>
  <si>
    <t>竹内 勇人</t>
  </si>
  <si>
    <t>宮崎 結衣</t>
  </si>
  <si>
    <t>福 ひかる</t>
  </si>
  <si>
    <t>床井 麗奈</t>
  </si>
  <si>
    <t>工藤 利久</t>
  </si>
  <si>
    <t>美保 俊介</t>
  </si>
  <si>
    <t>高畑 美沙希</t>
  </si>
  <si>
    <t>中川 健二</t>
  </si>
  <si>
    <t>小田倉 陸人</t>
  </si>
  <si>
    <t>喜田 菜々美</t>
  </si>
  <si>
    <t>伊藤 亜希子</t>
  </si>
  <si>
    <t>玉田 みらい</t>
  </si>
  <si>
    <t>礒部 旭輝</t>
  </si>
  <si>
    <t>石嶺 正三</t>
  </si>
  <si>
    <t>國領 駿介</t>
  </si>
  <si>
    <t>溝口 哲也</t>
  </si>
  <si>
    <t>武智 七海</t>
  </si>
  <si>
    <t>岡部 忍</t>
  </si>
  <si>
    <t>薮下 有紀</t>
  </si>
  <si>
    <t>三宅 優</t>
  </si>
  <si>
    <t>木下 香菜子</t>
  </si>
  <si>
    <t>河野 朱実</t>
  </si>
  <si>
    <t>田尻 健二</t>
  </si>
  <si>
    <t>杉原 雄二</t>
  </si>
  <si>
    <t>櫻井 啓司</t>
  </si>
  <si>
    <t>中田 敦次</t>
  </si>
  <si>
    <t>島 奈央</t>
  </si>
  <si>
    <t>大熊 勉</t>
  </si>
  <si>
    <t>野田 晃多</t>
  </si>
  <si>
    <t>河合 武士</t>
  </si>
  <si>
    <t>瀬口 長栄</t>
  </si>
  <si>
    <t>田中 直人</t>
  </si>
  <si>
    <t>平野 七海</t>
  </si>
  <si>
    <t>栗澤 杏子</t>
  </si>
  <si>
    <t>東雲 南実</t>
  </si>
  <si>
    <t>小川 さりな</t>
  </si>
  <si>
    <t>小川 怜子</t>
  </si>
  <si>
    <t>杉内 あかり</t>
  </si>
  <si>
    <t>黒河 邦彌</t>
  </si>
  <si>
    <t>佐藤 翔治</t>
  </si>
  <si>
    <t>林 毅</t>
  </si>
  <si>
    <t>中村 和音</t>
  </si>
  <si>
    <t>伊東 結夏</t>
  </si>
  <si>
    <t>古屋 克弘</t>
  </si>
  <si>
    <t>後藤 友貴哉</t>
  </si>
  <si>
    <t>池野 一輝</t>
  </si>
  <si>
    <t>及川 裕次郎</t>
  </si>
  <si>
    <t>和田 康明</t>
  </si>
  <si>
    <t>清水 泰輔</t>
  </si>
  <si>
    <t>杉原 沙菜</t>
  </si>
  <si>
    <t>横山 悠太</t>
  </si>
  <si>
    <t>浦島 修</t>
  </si>
  <si>
    <t>伊藤 哲三</t>
  </si>
  <si>
    <t>堀江 みなみ</t>
  </si>
  <si>
    <t>松原 那奈</t>
  </si>
  <si>
    <t>須田 希昇</t>
  </si>
  <si>
    <t>船本 香菜子</t>
  </si>
  <si>
    <t>鈴木 勝成</t>
  </si>
  <si>
    <t>都 遼太郎</t>
  </si>
  <si>
    <t>木村 康平</t>
  </si>
  <si>
    <t>土橋 まこ</t>
  </si>
  <si>
    <t>三輪 克男</t>
  </si>
  <si>
    <t>松友 政夫</t>
  </si>
  <si>
    <t>鈴木 伸一</t>
  </si>
  <si>
    <t>堤 裕幸</t>
  </si>
  <si>
    <t>北原 一章</t>
  </si>
  <si>
    <t>比屋根 摩子</t>
  </si>
  <si>
    <t>竹内 渉</t>
  </si>
  <si>
    <t>渡辺 公平</t>
  </si>
  <si>
    <t>下田 幸造</t>
  </si>
  <si>
    <t>横山 勝利</t>
  </si>
  <si>
    <t>比嘉 もも</t>
  </si>
  <si>
    <t>長谷川 玲名</t>
  </si>
  <si>
    <t>石田 いろは</t>
  </si>
  <si>
    <t>平井 裕太朗</t>
  </si>
  <si>
    <t>市川 裕子</t>
  </si>
  <si>
    <t>井上 麗奈</t>
  </si>
  <si>
    <t>紀藤 正明</t>
  </si>
  <si>
    <t>空 憲一</t>
  </si>
  <si>
    <t>岩崎 相太郎</t>
  </si>
  <si>
    <t>青木 弘明</t>
  </si>
  <si>
    <t>武田 一成</t>
  </si>
  <si>
    <t>山崎 昌徳</t>
  </si>
  <si>
    <t>山野 かりん</t>
  </si>
  <si>
    <t>小池 いちか</t>
  </si>
  <si>
    <t>石塚 ひろみ</t>
  </si>
  <si>
    <t>琴野 尚文</t>
  </si>
  <si>
    <t>内藤 致勲</t>
  </si>
  <si>
    <t>風間 慎之介</t>
  </si>
  <si>
    <t>加々美 義行</t>
  </si>
  <si>
    <t>土井 拓巳</t>
  </si>
  <si>
    <t>上中 かんな</t>
  </si>
  <si>
    <t>清水 ゆりか</t>
  </si>
  <si>
    <t>濵田 利蔵</t>
  </si>
  <si>
    <t>野田 さゆり</t>
  </si>
  <si>
    <t>北原 信平</t>
  </si>
  <si>
    <t>杉本 直輝</t>
  </si>
  <si>
    <t>高口 梓</t>
  </si>
  <si>
    <t>平沢 壮</t>
  </si>
  <si>
    <t>根本 祐未</t>
  </si>
  <si>
    <t>松本 千尋</t>
  </si>
  <si>
    <t>秋葉 友香</t>
  </si>
  <si>
    <t>紺堂 直久</t>
  </si>
  <si>
    <t>佐野 慧美</t>
  </si>
  <si>
    <t>作道 健一</t>
  </si>
  <si>
    <t>三浦 奈菜</t>
  </si>
  <si>
    <t>111111</t>
    <phoneticPr fontId="1"/>
  </si>
  <si>
    <t>111112</t>
    <phoneticPr fontId="1"/>
  </si>
  <si>
    <t>111113</t>
  </si>
  <si>
    <t>111114</t>
  </si>
  <si>
    <t>111115</t>
  </si>
  <si>
    <t>111116</t>
  </si>
  <si>
    <t>111117</t>
  </si>
  <si>
    <t>111118</t>
  </si>
  <si>
    <t>111119</t>
  </si>
  <si>
    <t>111120</t>
  </si>
  <si>
    <t>111121</t>
  </si>
  <si>
    <t>111122</t>
  </si>
  <si>
    <t>111123</t>
  </si>
  <si>
    <t>111124</t>
  </si>
  <si>
    <t>111125</t>
  </si>
  <si>
    <t>111126</t>
  </si>
  <si>
    <t>111127</t>
  </si>
  <si>
    <t>111128</t>
  </si>
  <si>
    <t>111129</t>
  </si>
  <si>
    <t>111130</t>
  </si>
  <si>
    <t>111131</t>
  </si>
  <si>
    <t>111132</t>
  </si>
  <si>
    <t>111133</t>
  </si>
  <si>
    <t>111134</t>
  </si>
  <si>
    <t>111135</t>
  </si>
  <si>
    <t>111136</t>
  </si>
  <si>
    <t>111137</t>
  </si>
  <si>
    <t>111138</t>
  </si>
  <si>
    <t>111139</t>
  </si>
  <si>
    <t>111140</t>
  </si>
  <si>
    <t>111141</t>
  </si>
  <si>
    <t>111142</t>
  </si>
  <si>
    <t>111143</t>
  </si>
  <si>
    <t>111144</t>
  </si>
  <si>
    <t>111145</t>
  </si>
  <si>
    <t>111146</t>
  </si>
  <si>
    <t>111147</t>
  </si>
  <si>
    <t>111148</t>
  </si>
  <si>
    <t>111149</t>
  </si>
  <si>
    <t>111150</t>
  </si>
  <si>
    <t>111151</t>
  </si>
  <si>
    <t>111152</t>
  </si>
  <si>
    <t>111153</t>
  </si>
  <si>
    <t>111154</t>
  </si>
  <si>
    <t>111155</t>
  </si>
  <si>
    <t>111156</t>
  </si>
  <si>
    <t>111157</t>
  </si>
  <si>
    <t>111158</t>
  </si>
  <si>
    <t>111159</t>
  </si>
  <si>
    <t>111160</t>
  </si>
  <si>
    <t>111161</t>
  </si>
  <si>
    <t>111162</t>
  </si>
  <si>
    <t>111163</t>
  </si>
  <si>
    <t>111164</t>
  </si>
  <si>
    <t>111165</t>
  </si>
  <si>
    <t>111166</t>
  </si>
  <si>
    <t>111167</t>
  </si>
  <si>
    <t>111168</t>
  </si>
  <si>
    <t>111169</t>
  </si>
  <si>
    <t>111170</t>
  </si>
  <si>
    <t>111171</t>
  </si>
  <si>
    <t>111172</t>
  </si>
  <si>
    <t>111173</t>
  </si>
  <si>
    <t>111174</t>
  </si>
  <si>
    <t>111175</t>
  </si>
  <si>
    <t>111176</t>
  </si>
  <si>
    <t>111177</t>
  </si>
  <si>
    <t>111178</t>
  </si>
  <si>
    <t>111179</t>
  </si>
  <si>
    <t>111180</t>
  </si>
  <si>
    <t>111181</t>
  </si>
  <si>
    <t>111182</t>
  </si>
  <si>
    <t>111183</t>
  </si>
  <si>
    <t>111184</t>
  </si>
  <si>
    <t>111185</t>
  </si>
  <si>
    <t>111186</t>
  </si>
  <si>
    <t>111187</t>
  </si>
  <si>
    <t>111188</t>
  </si>
  <si>
    <t>111189</t>
  </si>
  <si>
    <t>111190</t>
  </si>
  <si>
    <t>111191</t>
  </si>
  <si>
    <t>111192</t>
  </si>
  <si>
    <t>111193</t>
  </si>
  <si>
    <t>111194</t>
  </si>
  <si>
    <t>111195</t>
  </si>
  <si>
    <t>111196</t>
  </si>
  <si>
    <t>111197</t>
  </si>
  <si>
    <t>111198</t>
  </si>
  <si>
    <t>111199</t>
  </si>
  <si>
    <t>111200</t>
  </si>
  <si>
    <t>111201</t>
  </si>
  <si>
    <t>111202</t>
  </si>
  <si>
    <t>111203</t>
  </si>
  <si>
    <t>111204</t>
  </si>
  <si>
    <t>111205</t>
  </si>
  <si>
    <t>111206</t>
  </si>
  <si>
    <t>111207</t>
  </si>
  <si>
    <t>111208</t>
  </si>
  <si>
    <t>111209</t>
  </si>
  <si>
    <t>111210</t>
  </si>
  <si>
    <t>111211</t>
  </si>
  <si>
    <t>111212</t>
  </si>
  <si>
    <t>111213</t>
  </si>
  <si>
    <t>111214</t>
  </si>
  <si>
    <t>111215</t>
  </si>
  <si>
    <t>111216</t>
  </si>
  <si>
    <t>111217</t>
  </si>
  <si>
    <t>111218</t>
  </si>
  <si>
    <t>111219</t>
  </si>
  <si>
    <t>111220</t>
  </si>
  <si>
    <t>111221</t>
  </si>
  <si>
    <t>111222</t>
  </si>
  <si>
    <t>111223</t>
  </si>
  <si>
    <t>111224</t>
  </si>
  <si>
    <t>111225</t>
  </si>
  <si>
    <t>111226</t>
  </si>
  <si>
    <t>111227</t>
  </si>
  <si>
    <t>111228</t>
  </si>
  <si>
    <t>111229</t>
  </si>
  <si>
    <t>111230</t>
  </si>
  <si>
    <t>111231</t>
  </si>
  <si>
    <t>111232</t>
  </si>
  <si>
    <t>111233</t>
  </si>
  <si>
    <t>111234</t>
  </si>
  <si>
    <t>111235</t>
  </si>
  <si>
    <t>111236</t>
  </si>
  <si>
    <t>111237</t>
  </si>
  <si>
    <t>111238</t>
  </si>
  <si>
    <t>111239</t>
  </si>
  <si>
    <t>111240</t>
  </si>
  <si>
    <t>111241</t>
  </si>
  <si>
    <t>111242</t>
  </si>
  <si>
    <t>111243</t>
  </si>
  <si>
    <t>111244</t>
  </si>
  <si>
    <t>111245</t>
  </si>
  <si>
    <t>111246</t>
  </si>
  <si>
    <t>111247</t>
  </si>
  <si>
    <t>111248</t>
  </si>
  <si>
    <t>111249</t>
  </si>
  <si>
    <t>111250</t>
  </si>
  <si>
    <t>111251</t>
  </si>
  <si>
    <t>111252</t>
  </si>
  <si>
    <t>111253</t>
  </si>
  <si>
    <t>111254</t>
  </si>
  <si>
    <t>111255</t>
  </si>
  <si>
    <t>111256</t>
  </si>
  <si>
    <t>111257</t>
  </si>
  <si>
    <t>111258</t>
  </si>
  <si>
    <t>111259</t>
  </si>
  <si>
    <t>111260</t>
  </si>
  <si>
    <t>Programmed by RS2324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</si>
</sst>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176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>
      <alignment vertical="center"/>
    </xf>
    <xf numFmtId="176" fontId="0" fillId="0" borderId="24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7" xfId="0" applyBorder="1" applyAlignment="1">
      <alignment horizontal="right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" xfId="0" applyBorder="1">
      <alignment vertical="center"/>
    </xf>
    <xf numFmtId="14" fontId="0" fillId="2" borderId="3" xfId="0" applyNumberFormat="1" applyFill="1" applyBorder="1" applyProtection="1">
      <alignment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Protection="1">
      <alignment vertical="center"/>
      <protection locked="0"/>
    </xf>
    <xf numFmtId="49" fontId="0" fillId="2" borderId="3" xfId="0" applyNumberFormat="1" applyFill="1" applyBorder="1" applyProtection="1">
      <alignment vertical="center"/>
      <protection locked="0"/>
    </xf>
    <xf numFmtId="0" fontId="0" fillId="2" borderId="1" xfId="0" applyFill="1" applyBorder="1">
      <alignment vertical="center"/>
    </xf>
    <xf numFmtId="49" fontId="0" fillId="2" borderId="1" xfId="0" applyNumberFormat="1" applyFill="1" applyBorder="1" applyAlignment="1">
      <alignment horizontal="center" vertical="center"/>
    </xf>
  </cellXfs>
  <cellStyles count="3">
    <cellStyle name="桁区切り 2" xfId="2" xr:uid="{00000000-0005-0000-0000-000000000000}"/>
    <cellStyle name="標準" xfId="0" builtinId="0"/>
    <cellStyle name="標準 2" xfId="1" xr:uid="{00000000-0005-0000-0000-000002000000}"/>
  </cellStyles>
  <dxfs count="1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98778</xdr:colOff>
      <xdr:row>8</xdr:row>
      <xdr:rowOff>239888</xdr:rowOff>
    </xdr:from>
    <xdr:to>
      <xdr:col>3</xdr:col>
      <xdr:colOff>543279</xdr:colOff>
      <xdr:row>13</xdr:row>
      <xdr:rowOff>24693</xdr:rowOff>
    </xdr:to>
    <xdr:sp macro="[0]!main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6695" y="2187221"/>
          <a:ext cx="2307167" cy="1001889"/>
        </a:xfrm>
        <a:prstGeom prst="rightArrow">
          <a:avLst/>
        </a:prstGeom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tx1"/>
              </a:solidFill>
            </a:rPr>
            <a:t>登録</a:t>
          </a:r>
          <a:endParaRPr kumimoji="1" lang="en-US" altLang="ja-JP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582083</xdr:colOff>
      <xdr:row>0</xdr:row>
      <xdr:rowOff>211667</xdr:rowOff>
    </xdr:from>
    <xdr:to>
      <xdr:col>7</xdr:col>
      <xdr:colOff>306917</xdr:colOff>
      <xdr:row>3</xdr:row>
      <xdr:rowOff>222250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32666" y="211667"/>
          <a:ext cx="2476501" cy="740833"/>
        </a:xfrm>
        <a:prstGeom prst="wedgeRoundRectCallout">
          <a:avLst>
            <a:gd name="adj1" fmla="val -62123"/>
            <a:gd name="adj2" fmla="val 32500"/>
            <a:gd name="adj3" fmla="val 16667"/>
          </a:avLst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1994/1/29</a:t>
          </a:r>
          <a:br>
            <a:rPr kumimoji="1" lang="en-US" altLang="ja-JP" sz="1100">
              <a:solidFill>
                <a:schemeClr val="tx1"/>
              </a:solidFill>
            </a:rPr>
          </a:br>
          <a:r>
            <a:rPr kumimoji="1" lang="ja-JP" altLang="en-US" sz="1100">
              <a:solidFill>
                <a:schemeClr val="tx1"/>
              </a:solidFill>
            </a:rPr>
            <a:t>↑のような形で入力する（半角）</a:t>
          </a:r>
        </a:p>
      </xdr:txBody>
    </xdr:sp>
    <xdr:clientData/>
  </xdr:twoCellAnchor>
  <xdr:twoCellAnchor>
    <xdr:from>
      <xdr:col>11</xdr:col>
      <xdr:colOff>342194</xdr:colOff>
      <xdr:row>7</xdr:row>
      <xdr:rowOff>109361</xdr:rowOff>
    </xdr:from>
    <xdr:to>
      <xdr:col>14</xdr:col>
      <xdr:colOff>88193</xdr:colOff>
      <xdr:row>11</xdr:row>
      <xdr:rowOff>144639</xdr:rowOff>
    </xdr:to>
    <xdr:sp macro="[0]!LockAndHide" textlink="">
      <xdr:nvSpPr>
        <xdr:cNvPr id="4" name="フローチャート: 代替処理 3">
          <a:extLst>
            <a:ext uri="{FF2B5EF4-FFF2-40B4-BE49-F238E27FC236}">
              <a16:creationId xmlns:a16="http://schemas.microsoft.com/office/drawing/2014/main" id="{581467FD-57B0-4ACD-B5DC-775C4C59C32A}"/>
            </a:ext>
          </a:extLst>
        </xdr:cNvPr>
        <xdr:cNvSpPr/>
      </xdr:nvSpPr>
      <xdr:spPr>
        <a:xfrm>
          <a:off x="8396111" y="1813278"/>
          <a:ext cx="1809749" cy="1008944"/>
        </a:xfrm>
        <a:prstGeom prst="flowChartAlternateProcess">
          <a:avLst/>
        </a:prstGeom>
        <a:solidFill>
          <a:schemeClr val="accent3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管理職用：</a:t>
          </a:r>
          <a:endParaRPr kumimoji="1" lang="en-US" altLang="ja-JP" sz="1400"/>
        </a:p>
        <a:p>
          <a:pPr algn="ctr"/>
          <a:r>
            <a:rPr kumimoji="1" lang="ja-JP" altLang="en-US" sz="1400"/>
            <a:t>ロック＆隠す</a:t>
          </a:r>
          <a:endParaRPr kumimoji="1" lang="en-US" altLang="ja-JP" sz="1400"/>
        </a:p>
      </xdr:txBody>
    </xdr:sp>
    <xdr:clientData/>
  </xdr:twoCellAnchor>
  <xdr:twoCellAnchor>
    <xdr:from>
      <xdr:col>11</xdr:col>
      <xdr:colOff>349249</xdr:colOff>
      <xdr:row>2</xdr:row>
      <xdr:rowOff>45862</xdr:rowOff>
    </xdr:from>
    <xdr:to>
      <xdr:col>14</xdr:col>
      <xdr:colOff>52915</xdr:colOff>
      <xdr:row>6</xdr:row>
      <xdr:rowOff>81139</xdr:rowOff>
    </xdr:to>
    <xdr:sp macro="[0]!UnlockAndShow" textlink="">
      <xdr:nvSpPr>
        <xdr:cNvPr id="5" name="フローチャート: 代替処理 4">
          <a:extLst>
            <a:ext uri="{FF2B5EF4-FFF2-40B4-BE49-F238E27FC236}">
              <a16:creationId xmlns:a16="http://schemas.microsoft.com/office/drawing/2014/main" id="{01423288-F9CE-4050-BFCB-C25D9DA0E116}"/>
            </a:ext>
          </a:extLst>
        </xdr:cNvPr>
        <xdr:cNvSpPr/>
      </xdr:nvSpPr>
      <xdr:spPr>
        <a:xfrm>
          <a:off x="8403166" y="532695"/>
          <a:ext cx="1767416" cy="1008944"/>
        </a:xfrm>
        <a:prstGeom prst="flowChartAlternateProcess">
          <a:avLst/>
        </a:prstGeom>
        <a:solidFill>
          <a:schemeClr val="accent3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/>
            <a:t>管理職用：</a:t>
          </a:r>
          <a:endParaRPr kumimoji="1" lang="en-US" altLang="ja-JP" sz="1400"/>
        </a:p>
        <a:p>
          <a:pPr algn="ctr"/>
          <a:r>
            <a:rPr kumimoji="1" lang="ja-JP" altLang="en-US" sz="1400"/>
            <a:t>アンロック＆表示</a:t>
          </a:r>
          <a:endParaRPr kumimoji="1" lang="en-US" altLang="ja-JP" sz="1400"/>
        </a:p>
      </xdr:txBody>
    </xdr:sp>
    <xdr:clientData/>
  </xdr:twoCellAnchor>
  <xdr:twoCellAnchor editAs="oneCell">
    <xdr:from>
      <xdr:col>8</xdr:col>
      <xdr:colOff>508000</xdr:colOff>
      <xdr:row>4</xdr:row>
      <xdr:rowOff>98027</xdr:rowOff>
    </xdr:from>
    <xdr:to>
      <xdr:col>10</xdr:col>
      <xdr:colOff>186974</xdr:colOff>
      <xdr:row>9</xdr:row>
      <xdr:rowOff>2470</xdr:rowOff>
    </xdr:to>
    <xdr:pic>
      <xdr:nvPicPr>
        <xdr:cNvPr id="7" name="padlock">
          <a:extLst>
            <a:ext uri="{FF2B5EF4-FFF2-40B4-BE49-F238E27FC236}">
              <a16:creationId xmlns:a16="http://schemas.microsoft.com/office/drawing/2014/main" id="{10F1BD20-EDF4-4B45-AFA6-C34EB9620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8167" y="1071694"/>
          <a:ext cx="1054807" cy="1121526"/>
        </a:xfrm>
        <a:prstGeom prst="rect">
          <a:avLst/>
        </a:prstGeom>
      </xdr:spPr>
    </xdr:pic>
    <xdr:clientData/>
  </xdr:twoCellAnchor>
  <xdr:twoCellAnchor>
    <xdr:from>
      <xdr:col>3</xdr:col>
      <xdr:colOff>607483</xdr:colOff>
      <xdr:row>4</xdr:row>
      <xdr:rowOff>120649</xdr:rowOff>
    </xdr:from>
    <xdr:to>
      <xdr:col>7</xdr:col>
      <xdr:colOff>332317</xdr:colOff>
      <xdr:row>5</xdr:row>
      <xdr:rowOff>190500</xdr:rowOff>
    </xdr:to>
    <xdr:sp macro="" textlink="">
      <xdr:nvSpPr>
        <xdr:cNvPr id="8" name="角丸四角形吹き出し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58066" y="1094316"/>
          <a:ext cx="2476501" cy="313267"/>
        </a:xfrm>
        <a:prstGeom prst="wedgeRoundRectCallout">
          <a:avLst>
            <a:gd name="adj1" fmla="val -62123"/>
            <a:gd name="adj2" fmla="val 32500"/>
            <a:gd name="adj3" fmla="val 16667"/>
          </a:avLst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リストから選択する</a:t>
          </a:r>
        </a:p>
      </xdr:txBody>
    </xdr:sp>
    <xdr:clientData/>
  </xdr:twoCellAnchor>
  <xdr:twoCellAnchor>
    <xdr:from>
      <xdr:col>3</xdr:col>
      <xdr:colOff>601133</xdr:colOff>
      <xdr:row>6</xdr:row>
      <xdr:rowOff>146049</xdr:rowOff>
    </xdr:from>
    <xdr:to>
      <xdr:col>7</xdr:col>
      <xdr:colOff>325967</xdr:colOff>
      <xdr:row>7</xdr:row>
      <xdr:rowOff>215899</xdr:rowOff>
    </xdr:to>
    <xdr:sp macro="" textlink="">
      <xdr:nvSpPr>
        <xdr:cNvPr id="10" name="角丸四角形吹き出し 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51716" y="1606549"/>
          <a:ext cx="2476501" cy="313267"/>
        </a:xfrm>
        <a:prstGeom prst="wedgeRoundRectCallout">
          <a:avLst>
            <a:gd name="adj1" fmla="val -62123"/>
            <a:gd name="adj2" fmla="val 32500"/>
            <a:gd name="adj3" fmla="val 16667"/>
          </a:avLst>
        </a:prstGeom>
        <a:solidFill>
          <a:schemeClr val="bg1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半角数字で入力する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1"/>
  <sheetViews>
    <sheetView tabSelected="1" zoomScale="90" workbookViewId="0">
      <selection activeCell="E13" sqref="E13"/>
    </sheetView>
  </sheetViews>
  <sheetFormatPr defaultRowHeight="18.75" x14ac:dyDescent="0.4"/>
  <cols>
    <col min="2" max="2" width="11.375" customWidth="1"/>
    <col min="3" max="3" width="13" bestFit="1" customWidth="1"/>
  </cols>
  <sheetData>
    <row r="1" spans="2:11" x14ac:dyDescent="0.4">
      <c r="K1" t="s">
        <v>351</v>
      </c>
    </row>
    <row r="2" spans="2:11" x14ac:dyDescent="0.4">
      <c r="B2" t="s">
        <v>17</v>
      </c>
    </row>
    <row r="3" spans="2:11" ht="19.5" thickBot="1" x14ac:dyDescent="0.45"/>
    <row r="4" spans="2:11" ht="19.5" thickBot="1" x14ac:dyDescent="0.45">
      <c r="B4" s="1" t="s">
        <v>22</v>
      </c>
      <c r="C4" s="43"/>
    </row>
    <row r="5" spans="2:11" ht="19.5" thickBot="1" x14ac:dyDescent="0.45">
      <c r="B5" s="1"/>
    </row>
    <row r="6" spans="2:11" ht="19.5" thickBot="1" x14ac:dyDescent="0.45">
      <c r="B6" s="1" t="s">
        <v>23</v>
      </c>
      <c r="C6" s="44"/>
    </row>
    <row r="7" spans="2:11" ht="19.5" thickBot="1" x14ac:dyDescent="0.45">
      <c r="B7" s="1"/>
    </row>
    <row r="8" spans="2:11" ht="19.5" thickBot="1" x14ac:dyDescent="0.45">
      <c r="B8" s="1" t="s">
        <v>21</v>
      </c>
      <c r="C8" s="45"/>
    </row>
    <row r="10" spans="2:11" x14ac:dyDescent="0.4">
      <c r="J10" s="2" t="s">
        <v>41</v>
      </c>
    </row>
    <row r="11" spans="2:11" x14ac:dyDescent="0.4">
      <c r="J11" t="s">
        <v>42</v>
      </c>
    </row>
  </sheetData>
  <sheetProtection algorithmName="SHA-512" hashValue="US9faxwet9LK57cfTB65XwQUDOJq2FNl4QD7dGH1RwolFPV5CYuahUWMVwX4rMrFDd0Kl+fbgaf8OM0TI+c8yQ==" saltValue="yUM6WsyyROcm6Ctp64T2mQ==" spinCount="100000" sheet="1" objects="1" scenarios="1"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ID!$C$4:$C$208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H208"/>
  <sheetViews>
    <sheetView workbookViewId="0">
      <selection activeCell="F14" sqref="F14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IF(config!J3&lt;&gt;"",DATE($A$2,$A$4,config!J3),"")</f>
        <v>45383</v>
      </c>
      <c r="E1" s="9">
        <f>IF(config!K3&lt;&gt;"",DATE($A$2,$A$4,config!K3),"")</f>
        <v>45384</v>
      </c>
      <c r="F1" s="9">
        <f>IF(config!L3&lt;&gt;"",DATE($A$2,$A$4,config!L3),"")</f>
        <v>45385</v>
      </c>
      <c r="G1" s="9">
        <f>IF(config!M3&lt;&gt;"",DATE($A$2,$A$4,config!M3),"")</f>
        <v>45386</v>
      </c>
      <c r="H1" s="10">
        <f>IF(config!N3&lt;&gt;"",DATE($A$2,$A$4,config!N3),"")</f>
        <v>45387</v>
      </c>
      <c r="I1" s="16">
        <f>IF(config!O3&lt;&gt;"",DATE($A$2,$A$4,config!O3),"")</f>
        <v>45388</v>
      </c>
      <c r="J1" s="9">
        <f>IF(config!P3&lt;&gt;"",DATE($A$2,$A$4,config!P3),"")</f>
        <v>45389</v>
      </c>
      <c r="K1" s="9">
        <f>IF(config!Q3&lt;&gt;"",DATE($A$2,$A$4,config!Q3),"")</f>
        <v>45390</v>
      </c>
      <c r="L1" s="9">
        <f>IF(config!R3&lt;&gt;"",DATE($A$2,$A$4,config!R3),"")</f>
        <v>45391</v>
      </c>
      <c r="M1" s="27">
        <f>IF(config!S3&lt;&gt;"",DATE($A$2,$A$4,config!S3),"")</f>
        <v>45392</v>
      </c>
      <c r="N1" s="20">
        <f>IF(config!T3&lt;&gt;"",DATE($A$2,$A$4,config!T3),"")</f>
        <v>45393</v>
      </c>
      <c r="O1" s="9">
        <f>IF(config!U3&lt;&gt;"",DATE($A$2,$A$4,config!U3),"")</f>
        <v>45394</v>
      </c>
      <c r="P1" s="9">
        <f>IF(config!V3&lt;&gt;"",DATE($A$2,$A$4,config!V3),"")</f>
        <v>45395</v>
      </c>
      <c r="Q1" s="9">
        <f>IF(config!W3&lt;&gt;"",DATE($A$2,$A$4,config!W3),"")</f>
        <v>45396</v>
      </c>
      <c r="R1" s="10">
        <f>IF(config!X3&lt;&gt;"",DATE($A$2,$A$4,config!X3),"")</f>
        <v>45397</v>
      </c>
      <c r="S1" s="16">
        <f>IF(config!Y3&lt;&gt;"",DATE($A$2,$A$4,config!Y3),"")</f>
        <v>45398</v>
      </c>
      <c r="T1" s="9">
        <f>IF(config!Z3&lt;&gt;"",DATE($A$2,$A$4,config!Z3),"")</f>
        <v>45399</v>
      </c>
      <c r="U1" s="9">
        <f>IF(config!AA3&lt;&gt;"",DATE($A$2,$A$4,config!AA3),"")</f>
        <v>45400</v>
      </c>
      <c r="V1" s="9">
        <f>IF(config!AB3&lt;&gt;"",DATE($A$2,$A$4,config!AB3),"")</f>
        <v>45401</v>
      </c>
      <c r="W1" s="27">
        <f>IF(config!AC3&lt;&gt;"",DATE($A$2,$A$4,config!AC3),"")</f>
        <v>45402</v>
      </c>
      <c r="X1" s="20">
        <f>IF(config!AD3&lt;&gt;"",DATE($A$2,$A$4,config!AD3),"")</f>
        <v>45403</v>
      </c>
      <c r="Y1" s="9">
        <f>IF(config!AE3&lt;&gt;"",DATE($A$2,$A$4,config!AE3),"")</f>
        <v>45404</v>
      </c>
      <c r="Z1" s="9">
        <f>IF(config!AF3&lt;&gt;"",DATE($A$2,$A$4,config!AF3),"")</f>
        <v>45405</v>
      </c>
      <c r="AA1" s="9">
        <f>IF(config!AG3&lt;&gt;"",DATE($A$2,$A$4,config!AG3),"")</f>
        <v>45406</v>
      </c>
      <c r="AB1" s="10">
        <f>IF(config!AH3&lt;&gt;"",DATE($A$2,$A$4,config!AH3),"")</f>
        <v>45407</v>
      </c>
      <c r="AC1" s="16">
        <f>IF(config!AI3&lt;&gt;"",DATE($A$2,$A$4,config!AI3),"")</f>
        <v>45408</v>
      </c>
      <c r="AD1" s="9">
        <f>IF(config!AJ3&lt;&gt;"",DATE($A$2,$A$4,config!AJ3),"")</f>
        <v>45409</v>
      </c>
      <c r="AE1" s="9">
        <f>IF(config!AK3&lt;&gt;"",DATE($A$2,$A$4,config!AK3),"")</f>
        <v>45410</v>
      </c>
      <c r="AF1" s="9">
        <f>IF(config!AL3&lt;&gt;"",DATE($A$2,$A$4,config!AL3),"")</f>
        <v>45411</v>
      </c>
      <c r="AG1" s="27">
        <f>IF(config!AM3&lt;&gt;"",DATE($A$2,$A$4,config!AM3),"")</f>
        <v>45412</v>
      </c>
      <c r="AH1" s="30" t="str">
        <f>IF(config!AN3&lt;&gt;"",DATE($A$2,$A$4,config!AN3),"")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月</v>
      </c>
      <c r="E2" s="12" t="str">
        <f t="shared" ref="E2:AH2" si="0">IF(COUNTIF(E3,1),"祝",TEXT(E1,"aaa"))</f>
        <v>火</v>
      </c>
      <c r="F2" s="12" t="str">
        <f t="shared" si="0"/>
        <v>水</v>
      </c>
      <c r="G2" s="12" t="str">
        <f t="shared" si="0"/>
        <v>木</v>
      </c>
      <c r="H2" s="13" t="str">
        <f t="shared" si="0"/>
        <v>金</v>
      </c>
      <c r="I2" s="17" t="str">
        <f t="shared" si="0"/>
        <v>土</v>
      </c>
      <c r="J2" s="12" t="str">
        <f t="shared" si="0"/>
        <v>日</v>
      </c>
      <c r="K2" s="12" t="str">
        <f t="shared" si="0"/>
        <v>月</v>
      </c>
      <c r="L2" s="12" t="str">
        <f t="shared" si="0"/>
        <v>火</v>
      </c>
      <c r="M2" s="14" t="str">
        <f t="shared" si="0"/>
        <v>水</v>
      </c>
      <c r="N2" s="11" t="str">
        <f t="shared" si="0"/>
        <v>木</v>
      </c>
      <c r="O2" s="12" t="str">
        <f t="shared" si="0"/>
        <v>金</v>
      </c>
      <c r="P2" s="12" t="str">
        <f t="shared" si="0"/>
        <v>土</v>
      </c>
      <c r="Q2" s="12" t="str">
        <f t="shared" si="0"/>
        <v>日</v>
      </c>
      <c r="R2" s="13" t="str">
        <f t="shared" si="0"/>
        <v>月</v>
      </c>
      <c r="S2" s="17" t="str">
        <f t="shared" si="0"/>
        <v>火</v>
      </c>
      <c r="T2" s="12" t="str">
        <f t="shared" si="0"/>
        <v>水</v>
      </c>
      <c r="U2" s="12" t="str">
        <f t="shared" si="0"/>
        <v>木</v>
      </c>
      <c r="V2" s="12" t="str">
        <f t="shared" si="0"/>
        <v>金</v>
      </c>
      <c r="W2" s="14" t="str">
        <f t="shared" si="0"/>
        <v>土</v>
      </c>
      <c r="X2" s="11" t="str">
        <f t="shared" si="0"/>
        <v>日</v>
      </c>
      <c r="Y2" s="12" t="str">
        <f t="shared" si="0"/>
        <v>月</v>
      </c>
      <c r="Z2" s="12" t="str">
        <f t="shared" si="0"/>
        <v>火</v>
      </c>
      <c r="AA2" s="12" t="str">
        <f t="shared" si="0"/>
        <v>水</v>
      </c>
      <c r="AB2" s="13" t="str">
        <f t="shared" si="0"/>
        <v>木</v>
      </c>
      <c r="AC2" s="17" t="str">
        <f t="shared" si="0"/>
        <v>金</v>
      </c>
      <c r="AD2" s="12" t="str">
        <f t="shared" si="0"/>
        <v>土</v>
      </c>
      <c r="AE2" s="12" t="str">
        <f t="shared" si="0"/>
        <v>日</v>
      </c>
      <c r="AF2" s="12" t="str">
        <f t="shared" si="0"/>
        <v>月</v>
      </c>
      <c r="AG2" s="14" t="str">
        <f t="shared" si="0"/>
        <v>火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4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>／</v>
      </c>
      <c r="J4" s="7" t="str">
        <f t="shared" si="1"/>
        <v>／</v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>／</v>
      </c>
      <c r="Q4" s="7" t="str">
        <f t="shared" si="1"/>
        <v>／</v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>／</v>
      </c>
      <c r="X4" s="21" t="str">
        <f t="shared" si="2"/>
        <v>／</v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>／</v>
      </c>
      <c r="AE4" s="7" t="str">
        <f t="shared" si="2"/>
        <v>／</v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>／</v>
      </c>
      <c r="J5" s="3" t="str">
        <f t="shared" si="1"/>
        <v>／</v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>／</v>
      </c>
      <c r="Q5" s="3" t="str">
        <f t="shared" si="1"/>
        <v>／</v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>／</v>
      </c>
      <c r="X5" s="23" t="str">
        <f t="shared" si="2"/>
        <v>／</v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>／</v>
      </c>
      <c r="AE5" s="3" t="str">
        <f t="shared" si="2"/>
        <v>／</v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1voesfWLkt2oqHOe0WvfNDcwzMuhZWNHZ3WQmPWXToclk9Y57NYNTocGriYwqTwvdEqoWhtULSU/9FJ3gj0KpA==" saltValue="ZuMEzBLiiAVqYBLkWNJsTQ==" spinCount="100000" sheet="1" objects="1" scenarios="1"/>
  <phoneticPr fontId="1"/>
  <conditionalFormatting sqref="D1:AH1048576">
    <cfRule type="expression" dxfId="11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H208"/>
  <sheetViews>
    <sheetView workbookViewId="0">
      <selection activeCell="A2" sqref="A2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IF(config!J4&lt;&gt;"",DATE($A$2,$A$4,config!J4),"")</f>
        <v>45413</v>
      </c>
      <c r="E1" s="9">
        <f>IF(config!K4&lt;&gt;"",DATE($A$2,$A$4,config!K4),"")</f>
        <v>45414</v>
      </c>
      <c r="F1" s="9">
        <f>IF(config!L4&lt;&gt;"",DATE($A$2,$A$4,config!L4),"")</f>
        <v>45415</v>
      </c>
      <c r="G1" s="9">
        <f>IF(config!M4&lt;&gt;"",DATE($A$2,$A$4,config!M4),"")</f>
        <v>45416</v>
      </c>
      <c r="H1" s="10">
        <f>IF(config!N4&lt;&gt;"",DATE($A$2,$A$4,config!N4),"")</f>
        <v>45417</v>
      </c>
      <c r="I1" s="16">
        <f>IF(config!O4&lt;&gt;"",DATE($A$2,$A$4,config!O4),"")</f>
        <v>45418</v>
      </c>
      <c r="J1" s="9">
        <f>IF(config!P4&lt;&gt;"",DATE($A$2,$A$4,config!P4),"")</f>
        <v>45419</v>
      </c>
      <c r="K1" s="9">
        <f>IF(config!Q4&lt;&gt;"",DATE($A$2,$A$4,config!Q4),"")</f>
        <v>45420</v>
      </c>
      <c r="L1" s="9">
        <f>IF(config!R4&lt;&gt;"",DATE($A$2,$A$4,config!R4),"")</f>
        <v>45421</v>
      </c>
      <c r="M1" s="27">
        <f>IF(config!S4&lt;&gt;"",DATE($A$2,$A$4,config!S4),"")</f>
        <v>45422</v>
      </c>
      <c r="N1" s="20">
        <f>IF(config!T4&lt;&gt;"",DATE($A$2,$A$4,config!T4),"")</f>
        <v>45423</v>
      </c>
      <c r="O1" s="9">
        <f>IF(config!U4&lt;&gt;"",DATE($A$2,$A$4,config!U4),"")</f>
        <v>45424</v>
      </c>
      <c r="P1" s="9">
        <f>IF(config!V4&lt;&gt;"",DATE($A$2,$A$4,config!V4),"")</f>
        <v>45425</v>
      </c>
      <c r="Q1" s="9">
        <f>IF(config!W4&lt;&gt;"",DATE($A$2,$A$4,config!W4),"")</f>
        <v>45426</v>
      </c>
      <c r="R1" s="10">
        <f>IF(config!X4&lt;&gt;"",DATE($A$2,$A$4,config!X4),"")</f>
        <v>45427</v>
      </c>
      <c r="S1" s="16">
        <f>IF(config!Y4&lt;&gt;"",DATE($A$2,$A$4,config!Y4),"")</f>
        <v>45428</v>
      </c>
      <c r="T1" s="9">
        <f>IF(config!Z4&lt;&gt;"",DATE($A$2,$A$4,config!Z4),"")</f>
        <v>45429</v>
      </c>
      <c r="U1" s="9">
        <f>IF(config!AA4&lt;&gt;"",DATE($A$2,$A$4,config!AA4),"")</f>
        <v>45430</v>
      </c>
      <c r="V1" s="9">
        <f>IF(config!AB4&lt;&gt;"",DATE($A$2,$A$4,config!AB4),"")</f>
        <v>45431</v>
      </c>
      <c r="W1" s="27">
        <f>IF(config!AC4&lt;&gt;"",DATE($A$2,$A$4,config!AC4),"")</f>
        <v>45432</v>
      </c>
      <c r="X1" s="20">
        <f>IF(config!AD4&lt;&gt;"",DATE($A$2,$A$4,config!AD4),"")</f>
        <v>45433</v>
      </c>
      <c r="Y1" s="9">
        <f>IF(config!AE4&lt;&gt;"",DATE($A$2,$A$4,config!AE4),"")</f>
        <v>45434</v>
      </c>
      <c r="Z1" s="9">
        <f>IF(config!AF4&lt;&gt;"",DATE($A$2,$A$4,config!AF4),"")</f>
        <v>45435</v>
      </c>
      <c r="AA1" s="9">
        <f>IF(config!AG4&lt;&gt;"",DATE($A$2,$A$4,config!AG4),"")</f>
        <v>45436</v>
      </c>
      <c r="AB1" s="10">
        <f>IF(config!AH4&lt;&gt;"",DATE($A$2,$A$4,config!AH4),"")</f>
        <v>45437</v>
      </c>
      <c r="AC1" s="16">
        <f>IF(config!AI4&lt;&gt;"",DATE($A$2,$A$4,config!AI4),"")</f>
        <v>45438</v>
      </c>
      <c r="AD1" s="9">
        <f>IF(config!AJ4&lt;&gt;"",DATE($A$2,$A$4,config!AJ4),"")</f>
        <v>45439</v>
      </c>
      <c r="AE1" s="9">
        <f>IF(config!AK4&lt;&gt;"",DATE($A$2,$A$4,config!AK4),"")</f>
        <v>45440</v>
      </c>
      <c r="AF1" s="9">
        <f>IF(config!AL4&lt;&gt;"",DATE($A$2,$A$4,config!AL4),"")</f>
        <v>45441</v>
      </c>
      <c r="AG1" s="27">
        <f>IF(config!AM4&lt;&gt;"",DATE($A$2,$A$4,config!AM4),"")</f>
        <v>45442</v>
      </c>
      <c r="AH1" s="30">
        <f>IF(config!AN4&lt;&gt;"",DATE($A$2,$A$4,config!AN4),"")</f>
        <v>45443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水</v>
      </c>
      <c r="E2" s="12" t="str">
        <f t="shared" ref="E2:AH2" si="0">IF(COUNTIF(E3,1),"祝",TEXT(E1,"aaa"))</f>
        <v>木</v>
      </c>
      <c r="F2" s="12" t="str">
        <f t="shared" si="0"/>
        <v>金</v>
      </c>
      <c r="G2" s="12" t="str">
        <f t="shared" si="0"/>
        <v>土</v>
      </c>
      <c r="H2" s="13" t="str">
        <f t="shared" si="0"/>
        <v>日</v>
      </c>
      <c r="I2" s="17" t="str">
        <f t="shared" si="0"/>
        <v>月</v>
      </c>
      <c r="J2" s="12" t="str">
        <f t="shared" si="0"/>
        <v>火</v>
      </c>
      <c r="K2" s="12" t="str">
        <f t="shared" si="0"/>
        <v>水</v>
      </c>
      <c r="L2" s="12" t="str">
        <f t="shared" si="0"/>
        <v>木</v>
      </c>
      <c r="M2" s="14" t="str">
        <f t="shared" si="0"/>
        <v>金</v>
      </c>
      <c r="N2" s="11" t="str">
        <f t="shared" si="0"/>
        <v>土</v>
      </c>
      <c r="O2" s="12" t="str">
        <f t="shared" si="0"/>
        <v>日</v>
      </c>
      <c r="P2" s="12" t="str">
        <f t="shared" si="0"/>
        <v>月</v>
      </c>
      <c r="Q2" s="12" t="str">
        <f t="shared" si="0"/>
        <v>火</v>
      </c>
      <c r="R2" s="13" t="str">
        <f t="shared" si="0"/>
        <v>水</v>
      </c>
      <c r="S2" s="17" t="str">
        <f t="shared" si="0"/>
        <v>木</v>
      </c>
      <c r="T2" s="12" t="str">
        <f t="shared" si="0"/>
        <v>金</v>
      </c>
      <c r="U2" s="12" t="str">
        <f t="shared" si="0"/>
        <v>土</v>
      </c>
      <c r="V2" s="12" t="str">
        <f t="shared" si="0"/>
        <v>日</v>
      </c>
      <c r="W2" s="14" t="str">
        <f t="shared" si="0"/>
        <v>月</v>
      </c>
      <c r="X2" s="11" t="str">
        <f t="shared" si="0"/>
        <v>火</v>
      </c>
      <c r="Y2" s="12" t="str">
        <f t="shared" si="0"/>
        <v>水</v>
      </c>
      <c r="Z2" s="12" t="str">
        <f t="shared" si="0"/>
        <v>木</v>
      </c>
      <c r="AA2" s="12" t="str">
        <f t="shared" si="0"/>
        <v>金</v>
      </c>
      <c r="AB2" s="13" t="str">
        <f t="shared" si="0"/>
        <v>土</v>
      </c>
      <c r="AC2" s="17" t="str">
        <f t="shared" si="0"/>
        <v>日</v>
      </c>
      <c r="AD2" s="12" t="str">
        <f t="shared" si="0"/>
        <v>月</v>
      </c>
      <c r="AE2" s="12" t="str">
        <f t="shared" si="0"/>
        <v>火</v>
      </c>
      <c r="AF2" s="12" t="str">
        <f t="shared" si="0"/>
        <v>水</v>
      </c>
      <c r="AG2" s="14" t="str">
        <f t="shared" si="0"/>
        <v>木</v>
      </c>
      <c r="AH2" s="31" t="str">
        <f t="shared" si="0"/>
        <v>金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5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>／</v>
      </c>
      <c r="H4" s="22" t="str">
        <f t="shared" si="1"/>
        <v>／</v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>／</v>
      </c>
      <c r="O4" s="7" t="str">
        <f t="shared" si="1"/>
        <v>／</v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>／</v>
      </c>
      <c r="V4" s="7" t="str">
        <f t="shared" si="2"/>
        <v>／</v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>／</v>
      </c>
      <c r="AC4" s="18" t="str">
        <f t="shared" si="2"/>
        <v>／</v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>／</v>
      </c>
      <c r="H5" s="24" t="str">
        <f t="shared" si="1"/>
        <v>／</v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>／</v>
      </c>
      <c r="O5" s="3" t="str">
        <f t="shared" si="1"/>
        <v>／</v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>／</v>
      </c>
      <c r="V5" s="3" t="str">
        <f t="shared" si="2"/>
        <v>／</v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>／</v>
      </c>
      <c r="AC5" s="19" t="str">
        <f t="shared" si="2"/>
        <v>／</v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81Nxx1wljSsT0xBHFgLYPd6vZeTh5zskcBI9yEmCASL2/24L1i3XHziaEqrLKBxnJDISL0vJ+JzJyeLoJMAGdw==" saltValue="7VI9EotO5GFl6xrp7aOG+Q==" spinCount="100000" sheet="1" objects="1" scenarios="1"/>
  <phoneticPr fontId="1"/>
  <conditionalFormatting sqref="D1:AH1048576">
    <cfRule type="expression" dxfId="10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H208"/>
  <sheetViews>
    <sheetView workbookViewId="0">
      <selection activeCell="AH1" sqref="AH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IF(config!J5&lt;&gt;"",DATE($A$2,$A$4,config!J5),"")</f>
        <v>45444</v>
      </c>
      <c r="E1" s="9">
        <f>IF(config!K5&lt;&gt;"",DATE($A$2,$A$4,config!K5),"")</f>
        <v>45445</v>
      </c>
      <c r="F1" s="9">
        <f>IF(config!L5&lt;&gt;"",DATE($A$2,$A$4,config!L5),"")</f>
        <v>45446</v>
      </c>
      <c r="G1" s="9">
        <f>IF(config!M5&lt;&gt;"",DATE($A$2,$A$4,config!M5),"")</f>
        <v>45447</v>
      </c>
      <c r="H1" s="10">
        <f>IF(config!N5&lt;&gt;"",DATE($A$2,$A$4,config!N5),"")</f>
        <v>45448</v>
      </c>
      <c r="I1" s="16">
        <f>IF(config!O5&lt;&gt;"",DATE($A$2,$A$4,config!O5),"")</f>
        <v>45449</v>
      </c>
      <c r="J1" s="9">
        <f>IF(config!P5&lt;&gt;"",DATE($A$2,$A$4,config!P5),"")</f>
        <v>45450</v>
      </c>
      <c r="K1" s="9">
        <f>IF(config!Q5&lt;&gt;"",DATE($A$2,$A$4,config!Q5),"")</f>
        <v>45451</v>
      </c>
      <c r="L1" s="9">
        <f>IF(config!R5&lt;&gt;"",DATE($A$2,$A$4,config!R5),"")</f>
        <v>45452</v>
      </c>
      <c r="M1" s="27">
        <f>IF(config!S5&lt;&gt;"",DATE($A$2,$A$4,config!S5),"")</f>
        <v>45453</v>
      </c>
      <c r="N1" s="20">
        <f>IF(config!T5&lt;&gt;"",DATE($A$2,$A$4,config!T5),"")</f>
        <v>45454</v>
      </c>
      <c r="O1" s="9">
        <f>IF(config!U5&lt;&gt;"",DATE($A$2,$A$4,config!U5),"")</f>
        <v>45455</v>
      </c>
      <c r="P1" s="9">
        <f>IF(config!V5&lt;&gt;"",DATE($A$2,$A$4,config!V5),"")</f>
        <v>45456</v>
      </c>
      <c r="Q1" s="9">
        <f>IF(config!W5&lt;&gt;"",DATE($A$2,$A$4,config!W5),"")</f>
        <v>45457</v>
      </c>
      <c r="R1" s="10">
        <f>IF(config!X5&lt;&gt;"",DATE($A$2,$A$4,config!X5),"")</f>
        <v>45458</v>
      </c>
      <c r="S1" s="16">
        <f>IF(config!Y5&lt;&gt;"",DATE($A$2,$A$4,config!Y5),"")</f>
        <v>45459</v>
      </c>
      <c r="T1" s="9">
        <f>IF(config!Z5&lt;&gt;"",DATE($A$2,$A$4,config!Z5),"")</f>
        <v>45460</v>
      </c>
      <c r="U1" s="9">
        <f>IF(config!AA5&lt;&gt;"",DATE($A$2,$A$4,config!AA5),"")</f>
        <v>45461</v>
      </c>
      <c r="V1" s="9">
        <f>IF(config!AB5&lt;&gt;"",DATE($A$2,$A$4,config!AB5),"")</f>
        <v>45462</v>
      </c>
      <c r="W1" s="27">
        <f>IF(config!AC5&lt;&gt;"",DATE($A$2,$A$4,config!AC5),"")</f>
        <v>45463</v>
      </c>
      <c r="X1" s="20">
        <f>IF(config!AD5&lt;&gt;"",DATE($A$2,$A$4,config!AD5),"")</f>
        <v>45464</v>
      </c>
      <c r="Y1" s="9">
        <f>IF(config!AE5&lt;&gt;"",DATE($A$2,$A$4,config!AE5),"")</f>
        <v>45465</v>
      </c>
      <c r="Z1" s="9">
        <f>IF(config!AF5&lt;&gt;"",DATE($A$2,$A$4,config!AF5),"")</f>
        <v>45466</v>
      </c>
      <c r="AA1" s="9">
        <f>IF(config!AG5&lt;&gt;"",DATE($A$2,$A$4,config!AG5),"")</f>
        <v>45467</v>
      </c>
      <c r="AB1" s="10">
        <f>IF(config!AH5&lt;&gt;"",DATE($A$2,$A$4,config!AH5),"")</f>
        <v>45468</v>
      </c>
      <c r="AC1" s="16">
        <f>IF(config!AI5&lt;&gt;"",DATE($A$2,$A$4,config!AI5),"")</f>
        <v>45469</v>
      </c>
      <c r="AD1" s="9">
        <f>IF(config!AJ5&lt;&gt;"",DATE($A$2,$A$4,config!AJ5),"")</f>
        <v>45470</v>
      </c>
      <c r="AE1" s="9">
        <f>IF(config!AK5&lt;&gt;"",DATE($A$2,$A$4,config!AK5),"")</f>
        <v>45471</v>
      </c>
      <c r="AF1" s="9">
        <f>IF(config!AL5&lt;&gt;"",DATE($A$2,$A$4,config!AL5),"")</f>
        <v>45472</v>
      </c>
      <c r="AG1" s="27">
        <f>IF(config!AM5&lt;&gt;"",DATE($A$2,$A$4,config!AM5),"")</f>
        <v>45473</v>
      </c>
      <c r="AH1" s="30" t="str">
        <f>IF(config!AN5&lt;&gt;"",DATE($A$2,$A$4,config!AN5),"")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土</v>
      </c>
      <c r="E2" s="12" t="str">
        <f t="shared" ref="E2:AH2" si="0">IF(COUNTIF(E3,1),"祝",TEXT(E1,"aaa"))</f>
        <v>日</v>
      </c>
      <c r="F2" s="12" t="str">
        <f t="shared" si="0"/>
        <v>月</v>
      </c>
      <c r="G2" s="12" t="str">
        <f t="shared" si="0"/>
        <v>火</v>
      </c>
      <c r="H2" s="13" t="str">
        <f t="shared" si="0"/>
        <v>水</v>
      </c>
      <c r="I2" s="17" t="str">
        <f t="shared" si="0"/>
        <v>木</v>
      </c>
      <c r="J2" s="12" t="str">
        <f t="shared" si="0"/>
        <v>金</v>
      </c>
      <c r="K2" s="12" t="str">
        <f t="shared" si="0"/>
        <v>土</v>
      </c>
      <c r="L2" s="12" t="str">
        <f t="shared" si="0"/>
        <v>日</v>
      </c>
      <c r="M2" s="14" t="str">
        <f t="shared" si="0"/>
        <v>月</v>
      </c>
      <c r="N2" s="11" t="str">
        <f t="shared" si="0"/>
        <v>火</v>
      </c>
      <c r="O2" s="12" t="str">
        <f t="shared" si="0"/>
        <v>水</v>
      </c>
      <c r="P2" s="12" t="str">
        <f t="shared" si="0"/>
        <v>木</v>
      </c>
      <c r="Q2" s="12" t="str">
        <f t="shared" si="0"/>
        <v>金</v>
      </c>
      <c r="R2" s="13" t="str">
        <f t="shared" si="0"/>
        <v>土</v>
      </c>
      <c r="S2" s="17" t="str">
        <f t="shared" si="0"/>
        <v>日</v>
      </c>
      <c r="T2" s="12" t="str">
        <f t="shared" si="0"/>
        <v>月</v>
      </c>
      <c r="U2" s="12" t="str">
        <f t="shared" si="0"/>
        <v>火</v>
      </c>
      <c r="V2" s="12" t="str">
        <f t="shared" si="0"/>
        <v>水</v>
      </c>
      <c r="W2" s="14" t="str">
        <f t="shared" si="0"/>
        <v>木</v>
      </c>
      <c r="X2" s="11" t="str">
        <f t="shared" si="0"/>
        <v>金</v>
      </c>
      <c r="Y2" s="12" t="str">
        <f t="shared" si="0"/>
        <v>土</v>
      </c>
      <c r="Z2" s="12" t="str">
        <f t="shared" si="0"/>
        <v>日</v>
      </c>
      <c r="AA2" s="12" t="str">
        <f t="shared" si="0"/>
        <v>月</v>
      </c>
      <c r="AB2" s="13" t="str">
        <f t="shared" si="0"/>
        <v>火</v>
      </c>
      <c r="AC2" s="17" t="str">
        <f t="shared" si="0"/>
        <v>水</v>
      </c>
      <c r="AD2" s="12" t="str">
        <f t="shared" si="0"/>
        <v>木</v>
      </c>
      <c r="AE2" s="12" t="str">
        <f t="shared" si="0"/>
        <v>金</v>
      </c>
      <c r="AF2" s="12" t="str">
        <f t="shared" si="0"/>
        <v>土</v>
      </c>
      <c r="AG2" s="14" t="str">
        <f t="shared" si="0"/>
        <v>日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6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>／</v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>／</v>
      </c>
      <c r="L4" s="7" t="str">
        <f t="shared" si="1"/>
        <v>／</v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>／</v>
      </c>
      <c r="S4" s="18" t="str">
        <f t="shared" si="1"/>
        <v>／</v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>／</v>
      </c>
      <c r="Z4" s="7" t="str">
        <f t="shared" si="2"/>
        <v>／</v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>／</v>
      </c>
      <c r="AG4" s="28" t="str">
        <f t="shared" si="2"/>
        <v>／</v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>／</v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>／</v>
      </c>
      <c r="L5" s="3" t="str">
        <f t="shared" si="1"/>
        <v>／</v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>／</v>
      </c>
      <c r="S5" s="19" t="str">
        <f t="shared" si="1"/>
        <v>／</v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>／</v>
      </c>
      <c r="Z5" s="3" t="str">
        <f t="shared" si="2"/>
        <v>／</v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>／</v>
      </c>
      <c r="AG5" s="15" t="str">
        <f t="shared" si="2"/>
        <v>／</v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qwl4S069dmKqD745edSx8mzBQPF5H8dasGMtdS9sTNn27ilhfQ2Iba+696MULSPkH0Q99p0HVnR9gkRP2ALXzg==" saltValue="ufs+1NdWulaZzfUKNgBgFg==" spinCount="100000" sheet="1" objects="1" scenarios="1"/>
  <phoneticPr fontId="1"/>
  <conditionalFormatting sqref="D1:AH1048576">
    <cfRule type="expression" dxfId="9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H208"/>
  <sheetViews>
    <sheetView workbookViewId="0">
      <selection activeCell="AI5" sqref="AI5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IF(config!J6&lt;&gt;"",DATE($A$2,$A$4,config!J6),"")</f>
        <v>45474</v>
      </c>
      <c r="E1" s="9">
        <f>IF(config!K6&lt;&gt;"",DATE($A$2,$A$4,config!K6),"")</f>
        <v>45475</v>
      </c>
      <c r="F1" s="9">
        <f>IF(config!L6&lt;&gt;"",DATE($A$2,$A$4,config!L6),"")</f>
        <v>45476</v>
      </c>
      <c r="G1" s="9">
        <f>IF(config!M6&lt;&gt;"",DATE($A$2,$A$4,config!M6),"")</f>
        <v>45477</v>
      </c>
      <c r="H1" s="10">
        <f>IF(config!N6&lt;&gt;"",DATE($A$2,$A$4,config!N6),"")</f>
        <v>45478</v>
      </c>
      <c r="I1" s="16">
        <f>IF(config!O6&lt;&gt;"",DATE($A$2,$A$4,config!O6),"")</f>
        <v>45479</v>
      </c>
      <c r="J1" s="9">
        <f>IF(config!P6&lt;&gt;"",DATE($A$2,$A$4,config!P6),"")</f>
        <v>45480</v>
      </c>
      <c r="K1" s="9">
        <f>IF(config!Q6&lt;&gt;"",DATE($A$2,$A$4,config!Q6),"")</f>
        <v>45481</v>
      </c>
      <c r="L1" s="9">
        <f>IF(config!R6&lt;&gt;"",DATE($A$2,$A$4,config!R6),"")</f>
        <v>45482</v>
      </c>
      <c r="M1" s="27">
        <f>IF(config!S6&lt;&gt;"",DATE($A$2,$A$4,config!S6),"")</f>
        <v>45483</v>
      </c>
      <c r="N1" s="20">
        <f>IF(config!T6&lt;&gt;"",DATE($A$2,$A$4,config!T6),"")</f>
        <v>45484</v>
      </c>
      <c r="O1" s="9">
        <f>IF(config!U6&lt;&gt;"",DATE($A$2,$A$4,config!U6),"")</f>
        <v>45485</v>
      </c>
      <c r="P1" s="9">
        <f>IF(config!V6&lt;&gt;"",DATE($A$2,$A$4,config!V6),"")</f>
        <v>45486</v>
      </c>
      <c r="Q1" s="9">
        <f>IF(config!W6&lt;&gt;"",DATE($A$2,$A$4,config!W6),"")</f>
        <v>45487</v>
      </c>
      <c r="R1" s="10">
        <f>IF(config!X6&lt;&gt;"",DATE($A$2,$A$4,config!X6),"")</f>
        <v>45488</v>
      </c>
      <c r="S1" s="16">
        <f>IF(config!Y6&lt;&gt;"",DATE($A$2,$A$4,config!Y6),"")</f>
        <v>45489</v>
      </c>
      <c r="T1" s="9">
        <f>IF(config!Z6&lt;&gt;"",DATE($A$2,$A$4,config!Z6),"")</f>
        <v>45490</v>
      </c>
      <c r="U1" s="9">
        <f>IF(config!AA6&lt;&gt;"",DATE($A$2,$A$4,config!AA6),"")</f>
        <v>45491</v>
      </c>
      <c r="V1" s="9">
        <f>IF(config!AB6&lt;&gt;"",DATE($A$2,$A$4,config!AB6),"")</f>
        <v>45492</v>
      </c>
      <c r="W1" s="27">
        <f>IF(config!AC6&lt;&gt;"",DATE($A$2,$A$4,config!AC6),"")</f>
        <v>45493</v>
      </c>
      <c r="X1" s="20">
        <f>IF(config!AD6&lt;&gt;"",DATE($A$2,$A$4,config!AD6),"")</f>
        <v>45494</v>
      </c>
      <c r="Y1" s="9">
        <f>IF(config!AE6&lt;&gt;"",DATE($A$2,$A$4,config!AE6),"")</f>
        <v>45495</v>
      </c>
      <c r="Z1" s="9">
        <f>IF(config!AF6&lt;&gt;"",DATE($A$2,$A$4,config!AF6),"")</f>
        <v>45496</v>
      </c>
      <c r="AA1" s="9">
        <f>IF(config!AG6&lt;&gt;"",DATE($A$2,$A$4,config!AG6),"")</f>
        <v>45497</v>
      </c>
      <c r="AB1" s="10">
        <f>IF(config!AH6&lt;&gt;"",DATE($A$2,$A$4,config!AH6),"")</f>
        <v>45498</v>
      </c>
      <c r="AC1" s="16">
        <f>IF(config!AI6&lt;&gt;"",DATE($A$2,$A$4,config!AI6),"")</f>
        <v>45499</v>
      </c>
      <c r="AD1" s="9">
        <f>IF(config!AJ6&lt;&gt;"",DATE($A$2,$A$4,config!AJ6),"")</f>
        <v>45500</v>
      </c>
      <c r="AE1" s="9">
        <f>IF(config!AK6&lt;&gt;"",DATE($A$2,$A$4,config!AK6),"")</f>
        <v>45501</v>
      </c>
      <c r="AF1" s="9">
        <f>IF(config!AL6&lt;&gt;"",DATE($A$2,$A$4,config!AL6),"")</f>
        <v>45502</v>
      </c>
      <c r="AG1" s="27">
        <f>IF(config!AM6&lt;&gt;"",DATE($A$2,$A$4,config!AM6),"")</f>
        <v>45503</v>
      </c>
      <c r="AH1" s="30">
        <f>IF(config!AN6&lt;&gt;"",DATE($A$2,$A$4,config!AN6),"")</f>
        <v>45504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月</v>
      </c>
      <c r="E2" s="12" t="str">
        <f t="shared" ref="E2:AH2" si="0">IF(COUNTIF(E3,1),"祝",TEXT(E1,"aaa"))</f>
        <v>火</v>
      </c>
      <c r="F2" s="12" t="str">
        <f t="shared" si="0"/>
        <v>水</v>
      </c>
      <c r="G2" s="12" t="str">
        <f t="shared" si="0"/>
        <v>木</v>
      </c>
      <c r="H2" s="13" t="str">
        <f t="shared" si="0"/>
        <v>金</v>
      </c>
      <c r="I2" s="17" t="str">
        <f t="shared" si="0"/>
        <v>土</v>
      </c>
      <c r="J2" s="12" t="str">
        <f t="shared" si="0"/>
        <v>日</v>
      </c>
      <c r="K2" s="12" t="str">
        <f t="shared" si="0"/>
        <v>月</v>
      </c>
      <c r="L2" s="12" t="str">
        <f t="shared" si="0"/>
        <v>火</v>
      </c>
      <c r="M2" s="14" t="str">
        <f t="shared" si="0"/>
        <v>水</v>
      </c>
      <c r="N2" s="11" t="str">
        <f t="shared" si="0"/>
        <v>木</v>
      </c>
      <c r="O2" s="12" t="str">
        <f t="shared" si="0"/>
        <v>金</v>
      </c>
      <c r="P2" s="12" t="str">
        <f t="shared" si="0"/>
        <v>土</v>
      </c>
      <c r="Q2" s="12" t="str">
        <f t="shared" si="0"/>
        <v>日</v>
      </c>
      <c r="R2" s="13" t="str">
        <f t="shared" si="0"/>
        <v>月</v>
      </c>
      <c r="S2" s="17" t="str">
        <f t="shared" si="0"/>
        <v>火</v>
      </c>
      <c r="T2" s="12" t="str">
        <f t="shared" si="0"/>
        <v>水</v>
      </c>
      <c r="U2" s="12" t="str">
        <f t="shared" si="0"/>
        <v>木</v>
      </c>
      <c r="V2" s="12" t="str">
        <f t="shared" si="0"/>
        <v>金</v>
      </c>
      <c r="W2" s="14" t="str">
        <f t="shared" si="0"/>
        <v>土</v>
      </c>
      <c r="X2" s="11" t="str">
        <f t="shared" si="0"/>
        <v>日</v>
      </c>
      <c r="Y2" s="12" t="str">
        <f t="shared" si="0"/>
        <v>月</v>
      </c>
      <c r="Z2" s="12" t="str">
        <f t="shared" si="0"/>
        <v>火</v>
      </c>
      <c r="AA2" s="12" t="str">
        <f t="shared" si="0"/>
        <v>水</v>
      </c>
      <c r="AB2" s="13" t="str">
        <f t="shared" si="0"/>
        <v>木</v>
      </c>
      <c r="AC2" s="17" t="str">
        <f t="shared" si="0"/>
        <v>金</v>
      </c>
      <c r="AD2" s="12" t="str">
        <f t="shared" si="0"/>
        <v>土</v>
      </c>
      <c r="AE2" s="12" t="str">
        <f t="shared" si="0"/>
        <v>日</v>
      </c>
      <c r="AF2" s="12" t="str">
        <f t="shared" si="0"/>
        <v>月</v>
      </c>
      <c r="AG2" s="14" t="str">
        <f t="shared" si="0"/>
        <v>火</v>
      </c>
      <c r="AH2" s="31" t="str">
        <f t="shared" si="0"/>
        <v>水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7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>／</v>
      </c>
      <c r="J4" s="7" t="str">
        <f t="shared" si="1"/>
        <v>／</v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>／</v>
      </c>
      <c r="Q4" s="7" t="str">
        <f t="shared" si="1"/>
        <v>／</v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>／</v>
      </c>
      <c r="X4" s="21" t="str">
        <f t="shared" si="2"/>
        <v>／</v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>／</v>
      </c>
      <c r="AE4" s="7" t="str">
        <f t="shared" si="2"/>
        <v>／</v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>／</v>
      </c>
      <c r="J5" s="3" t="str">
        <f t="shared" si="1"/>
        <v>／</v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>／</v>
      </c>
      <c r="Q5" s="3" t="str">
        <f t="shared" si="1"/>
        <v>／</v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>／</v>
      </c>
      <c r="X5" s="23" t="str">
        <f t="shared" si="2"/>
        <v>／</v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>／</v>
      </c>
      <c r="AE5" s="3" t="str">
        <f t="shared" si="2"/>
        <v>／</v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NMXml2LPNayRWRKUMcU8kwYPkH7Q8feuI9rYr4Qig6oauR3ZLKEolmvH3RNGGKiUVVDmHoXuglR+PAaFaJUjtg==" saltValue="L0VvLuB2B9YzLcRel/Lvkg==" spinCount="100000" sheet="1" objects="1" scenarios="1"/>
  <phoneticPr fontId="1"/>
  <conditionalFormatting sqref="D1:AH1048576">
    <cfRule type="expression" dxfId="8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H208"/>
  <sheetViews>
    <sheetView workbookViewId="0">
      <selection activeCell="F2" sqref="F2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IF(config!J7&lt;&gt;"",DATE($A$2,$A$4,config!J7),"")</f>
        <v>45505</v>
      </c>
      <c r="E1" s="9">
        <f>IF(config!K7&lt;&gt;"",DATE($A$2,$A$4,config!K7),"")</f>
        <v>45506</v>
      </c>
      <c r="F1" s="9">
        <f>IF(config!L7&lt;&gt;"",DATE($A$2,$A$4,config!L7),"")</f>
        <v>45507</v>
      </c>
      <c r="G1" s="9">
        <f>IF(config!M7&lt;&gt;"",DATE($A$2,$A$4,config!M7),"")</f>
        <v>45508</v>
      </c>
      <c r="H1" s="10">
        <f>IF(config!N7&lt;&gt;"",DATE($A$2,$A$4,config!N7),"")</f>
        <v>45509</v>
      </c>
      <c r="I1" s="16">
        <f>IF(config!O7&lt;&gt;"",DATE($A$2,$A$4,config!O7),"")</f>
        <v>45510</v>
      </c>
      <c r="J1" s="9">
        <f>IF(config!P7&lt;&gt;"",DATE($A$2,$A$4,config!P7),"")</f>
        <v>45511</v>
      </c>
      <c r="K1" s="9">
        <f>IF(config!Q7&lt;&gt;"",DATE($A$2,$A$4,config!Q7),"")</f>
        <v>45512</v>
      </c>
      <c r="L1" s="9">
        <f>IF(config!R7&lt;&gt;"",DATE($A$2,$A$4,config!R7),"")</f>
        <v>45513</v>
      </c>
      <c r="M1" s="27">
        <f>IF(config!S7&lt;&gt;"",DATE($A$2,$A$4,config!S7),"")</f>
        <v>45514</v>
      </c>
      <c r="N1" s="20">
        <f>IF(config!T7&lt;&gt;"",DATE($A$2,$A$4,config!T7),"")</f>
        <v>45515</v>
      </c>
      <c r="O1" s="9">
        <f>IF(config!U7&lt;&gt;"",DATE($A$2,$A$4,config!U7),"")</f>
        <v>45516</v>
      </c>
      <c r="P1" s="9">
        <f>IF(config!V7&lt;&gt;"",DATE($A$2,$A$4,config!V7),"")</f>
        <v>45517</v>
      </c>
      <c r="Q1" s="9">
        <f>IF(config!W7&lt;&gt;"",DATE($A$2,$A$4,config!W7),"")</f>
        <v>45518</v>
      </c>
      <c r="R1" s="10">
        <f>IF(config!X7&lt;&gt;"",DATE($A$2,$A$4,config!X7),"")</f>
        <v>45519</v>
      </c>
      <c r="S1" s="16">
        <f>IF(config!Y7&lt;&gt;"",DATE($A$2,$A$4,config!Y7),"")</f>
        <v>45520</v>
      </c>
      <c r="T1" s="9">
        <f>IF(config!Z7&lt;&gt;"",DATE($A$2,$A$4,config!Z7),"")</f>
        <v>45521</v>
      </c>
      <c r="U1" s="9">
        <f>IF(config!AA7&lt;&gt;"",DATE($A$2,$A$4,config!AA7),"")</f>
        <v>45522</v>
      </c>
      <c r="V1" s="9">
        <f>IF(config!AB7&lt;&gt;"",DATE($A$2,$A$4,config!AB7),"")</f>
        <v>45523</v>
      </c>
      <c r="W1" s="27">
        <f>IF(config!AC7&lt;&gt;"",DATE($A$2,$A$4,config!AC7),"")</f>
        <v>45524</v>
      </c>
      <c r="X1" s="20">
        <f>IF(config!AD7&lt;&gt;"",DATE($A$2,$A$4,config!AD7),"")</f>
        <v>45525</v>
      </c>
      <c r="Y1" s="9">
        <f>IF(config!AE7&lt;&gt;"",DATE($A$2,$A$4,config!AE7),"")</f>
        <v>45526</v>
      </c>
      <c r="Z1" s="9">
        <f>IF(config!AF7&lt;&gt;"",DATE($A$2,$A$4,config!AF7),"")</f>
        <v>45527</v>
      </c>
      <c r="AA1" s="9">
        <f>IF(config!AG7&lt;&gt;"",DATE($A$2,$A$4,config!AG7),"")</f>
        <v>45528</v>
      </c>
      <c r="AB1" s="10">
        <f>IF(config!AH7&lt;&gt;"",DATE($A$2,$A$4,config!AH7),"")</f>
        <v>45529</v>
      </c>
      <c r="AC1" s="16">
        <f>IF(config!AI7&lt;&gt;"",DATE($A$2,$A$4,config!AI7),"")</f>
        <v>45530</v>
      </c>
      <c r="AD1" s="9">
        <f>IF(config!AJ7&lt;&gt;"",DATE($A$2,$A$4,config!AJ7),"")</f>
        <v>45531</v>
      </c>
      <c r="AE1" s="9">
        <f>IF(config!AK7&lt;&gt;"",DATE($A$2,$A$4,config!AK7),"")</f>
        <v>45532</v>
      </c>
      <c r="AF1" s="9">
        <f>IF(config!AL7&lt;&gt;"",DATE($A$2,$A$4,config!AL7),"")</f>
        <v>45533</v>
      </c>
      <c r="AG1" s="27">
        <f>IF(config!AM7&lt;&gt;"",DATE($A$2,$A$4,config!AM7),"")</f>
        <v>45534</v>
      </c>
      <c r="AH1" s="30">
        <f>IF(config!AN7&lt;&gt;"",DATE($A$2,$A$4,config!AN7),"")</f>
        <v>45535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木</v>
      </c>
      <c r="E2" s="12" t="str">
        <f t="shared" ref="E2:AH2" si="0">IF(COUNTIF(E3,1),"祝",TEXT(E1,"aaa"))</f>
        <v>金</v>
      </c>
      <c r="F2" s="12" t="str">
        <f t="shared" si="0"/>
        <v>土</v>
      </c>
      <c r="G2" s="12" t="str">
        <f t="shared" si="0"/>
        <v>日</v>
      </c>
      <c r="H2" s="13" t="str">
        <f t="shared" si="0"/>
        <v>月</v>
      </c>
      <c r="I2" s="17" t="str">
        <f t="shared" si="0"/>
        <v>火</v>
      </c>
      <c r="J2" s="12" t="str">
        <f t="shared" si="0"/>
        <v>水</v>
      </c>
      <c r="K2" s="12" t="str">
        <f t="shared" si="0"/>
        <v>木</v>
      </c>
      <c r="L2" s="12" t="str">
        <f t="shared" si="0"/>
        <v>金</v>
      </c>
      <c r="M2" s="14" t="str">
        <f t="shared" si="0"/>
        <v>土</v>
      </c>
      <c r="N2" s="11" t="str">
        <f t="shared" si="0"/>
        <v>日</v>
      </c>
      <c r="O2" s="12" t="str">
        <f t="shared" si="0"/>
        <v>月</v>
      </c>
      <c r="P2" s="12" t="str">
        <f t="shared" si="0"/>
        <v>火</v>
      </c>
      <c r="Q2" s="12" t="str">
        <f t="shared" si="0"/>
        <v>水</v>
      </c>
      <c r="R2" s="13" t="str">
        <f t="shared" si="0"/>
        <v>木</v>
      </c>
      <c r="S2" s="17" t="str">
        <f t="shared" si="0"/>
        <v>金</v>
      </c>
      <c r="T2" s="12" t="str">
        <f t="shared" si="0"/>
        <v>土</v>
      </c>
      <c r="U2" s="12" t="str">
        <f t="shared" si="0"/>
        <v>日</v>
      </c>
      <c r="V2" s="12" t="str">
        <f t="shared" si="0"/>
        <v>月</v>
      </c>
      <c r="W2" s="14" t="str">
        <f t="shared" si="0"/>
        <v>火</v>
      </c>
      <c r="X2" s="11" t="str">
        <f t="shared" si="0"/>
        <v>水</v>
      </c>
      <c r="Y2" s="12" t="str">
        <f t="shared" si="0"/>
        <v>木</v>
      </c>
      <c r="Z2" s="12" t="str">
        <f t="shared" si="0"/>
        <v>金</v>
      </c>
      <c r="AA2" s="12" t="str">
        <f t="shared" si="0"/>
        <v>土</v>
      </c>
      <c r="AB2" s="13" t="str">
        <f t="shared" si="0"/>
        <v>日</v>
      </c>
      <c r="AC2" s="17" t="str">
        <f t="shared" si="0"/>
        <v>月</v>
      </c>
      <c r="AD2" s="12" t="str">
        <f t="shared" si="0"/>
        <v>火</v>
      </c>
      <c r="AE2" s="12" t="str">
        <f t="shared" si="0"/>
        <v>水</v>
      </c>
      <c r="AF2" s="12" t="str">
        <f t="shared" si="0"/>
        <v>木</v>
      </c>
      <c r="AG2" s="14" t="str">
        <f t="shared" si="0"/>
        <v>金</v>
      </c>
      <c r="AH2" s="31" t="str">
        <f t="shared" si="0"/>
        <v>土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8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>／</v>
      </c>
      <c r="G4" s="7" t="str">
        <f t="shared" si="1"/>
        <v>／</v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>／</v>
      </c>
      <c r="N4" s="21" t="str">
        <f t="shared" si="1"/>
        <v>／</v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>／</v>
      </c>
      <c r="U4" s="7" t="str">
        <f t="shared" ref="U4:AH5" si="2">IF(U$2="祝","／",IF(U$2="土","／",IF(U$2="日","／","")))</f>
        <v>／</v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>／</v>
      </c>
      <c r="AB4" s="22" t="str">
        <f t="shared" si="2"/>
        <v>／</v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>／</v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>／</v>
      </c>
      <c r="G5" s="3" t="str">
        <f t="shared" si="1"/>
        <v>／</v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>／</v>
      </c>
      <c r="N5" s="23" t="str">
        <f t="shared" si="1"/>
        <v>／</v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>／</v>
      </c>
      <c r="U5" s="3" t="str">
        <f t="shared" si="2"/>
        <v>／</v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>／</v>
      </c>
      <c r="AB5" s="24" t="str">
        <f t="shared" si="2"/>
        <v>／</v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>／</v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yDAb7/wKYM1h+NiRzvlVIroYR2MWCY0RxmvKaTentNQwPj3oBy+pONj5LMfPTZi8qqxgoO20sMW9zyiSrxYAxg==" saltValue="W52MwWP6fy4C3nXwIFZmeA==" spinCount="100000" sheet="1" objects="1" scenarios="1"/>
  <phoneticPr fontId="1"/>
  <conditionalFormatting sqref="D1:AH1048576">
    <cfRule type="expression" dxfId="7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AH208"/>
  <sheetViews>
    <sheetView workbookViewId="0">
      <selection activeCell="AH1" sqref="AH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IF(config!J8&lt;&gt;"",DATE($A$2,$A$4,config!J8),"")</f>
        <v>45536</v>
      </c>
      <c r="E1" s="9">
        <f>IF(config!K8&lt;&gt;"",DATE($A$2,$A$4,config!K8),"")</f>
        <v>45537</v>
      </c>
      <c r="F1" s="9">
        <f>IF(config!L8&lt;&gt;"",DATE($A$2,$A$4,config!L8),"")</f>
        <v>45538</v>
      </c>
      <c r="G1" s="9">
        <f>IF(config!M8&lt;&gt;"",DATE($A$2,$A$4,config!M8),"")</f>
        <v>45539</v>
      </c>
      <c r="H1" s="10">
        <f>IF(config!N8&lt;&gt;"",DATE($A$2,$A$4,config!N8),"")</f>
        <v>45540</v>
      </c>
      <c r="I1" s="16">
        <f>IF(config!O8&lt;&gt;"",DATE($A$2,$A$4,config!O8),"")</f>
        <v>45541</v>
      </c>
      <c r="J1" s="9">
        <f>IF(config!P8&lt;&gt;"",DATE($A$2,$A$4,config!P8),"")</f>
        <v>45542</v>
      </c>
      <c r="K1" s="9">
        <f>IF(config!Q8&lt;&gt;"",DATE($A$2,$A$4,config!Q8),"")</f>
        <v>45543</v>
      </c>
      <c r="L1" s="9">
        <f>IF(config!R8&lt;&gt;"",DATE($A$2,$A$4,config!R8),"")</f>
        <v>45544</v>
      </c>
      <c r="M1" s="27">
        <f>IF(config!S8&lt;&gt;"",DATE($A$2,$A$4,config!S8),"")</f>
        <v>45545</v>
      </c>
      <c r="N1" s="20">
        <f>IF(config!T8&lt;&gt;"",DATE($A$2,$A$4,config!T8),"")</f>
        <v>45546</v>
      </c>
      <c r="O1" s="9">
        <f>IF(config!U8&lt;&gt;"",DATE($A$2,$A$4,config!U8),"")</f>
        <v>45547</v>
      </c>
      <c r="P1" s="9">
        <f>IF(config!V8&lt;&gt;"",DATE($A$2,$A$4,config!V8),"")</f>
        <v>45548</v>
      </c>
      <c r="Q1" s="9">
        <f>IF(config!W8&lt;&gt;"",DATE($A$2,$A$4,config!W8),"")</f>
        <v>45549</v>
      </c>
      <c r="R1" s="10">
        <f>IF(config!X8&lt;&gt;"",DATE($A$2,$A$4,config!X8),"")</f>
        <v>45550</v>
      </c>
      <c r="S1" s="16">
        <f>IF(config!Y8&lt;&gt;"",DATE($A$2,$A$4,config!Y8),"")</f>
        <v>45551</v>
      </c>
      <c r="T1" s="9">
        <f>IF(config!Z8&lt;&gt;"",DATE($A$2,$A$4,config!Z8),"")</f>
        <v>45552</v>
      </c>
      <c r="U1" s="9">
        <f>IF(config!AA8&lt;&gt;"",DATE($A$2,$A$4,config!AA8),"")</f>
        <v>45553</v>
      </c>
      <c r="V1" s="9">
        <f>IF(config!AB8&lt;&gt;"",DATE($A$2,$A$4,config!AB8),"")</f>
        <v>45554</v>
      </c>
      <c r="W1" s="27">
        <f>IF(config!AC8&lt;&gt;"",DATE($A$2,$A$4,config!AC8),"")</f>
        <v>45555</v>
      </c>
      <c r="X1" s="20">
        <f>IF(config!AD8&lt;&gt;"",DATE($A$2,$A$4,config!AD8),"")</f>
        <v>45556</v>
      </c>
      <c r="Y1" s="9">
        <f>IF(config!AE8&lt;&gt;"",DATE($A$2,$A$4,config!AE8),"")</f>
        <v>45557</v>
      </c>
      <c r="Z1" s="9">
        <f>IF(config!AF8&lt;&gt;"",DATE($A$2,$A$4,config!AF8),"")</f>
        <v>45558</v>
      </c>
      <c r="AA1" s="9">
        <f>IF(config!AG8&lt;&gt;"",DATE($A$2,$A$4,config!AG8),"")</f>
        <v>45559</v>
      </c>
      <c r="AB1" s="10">
        <f>IF(config!AH8&lt;&gt;"",DATE($A$2,$A$4,config!AH8),"")</f>
        <v>45560</v>
      </c>
      <c r="AC1" s="16">
        <f>IF(config!AI8&lt;&gt;"",DATE($A$2,$A$4,config!AI8),"")</f>
        <v>45561</v>
      </c>
      <c r="AD1" s="9">
        <f>IF(config!AJ8&lt;&gt;"",DATE($A$2,$A$4,config!AJ8),"")</f>
        <v>45562</v>
      </c>
      <c r="AE1" s="9">
        <f>IF(config!AK8&lt;&gt;"",DATE($A$2,$A$4,config!AK8),"")</f>
        <v>45563</v>
      </c>
      <c r="AF1" s="9">
        <f>IF(config!AL8&lt;&gt;"",DATE($A$2,$A$4,config!AL8),"")</f>
        <v>45564</v>
      </c>
      <c r="AG1" s="27">
        <f>IF(config!AM8&lt;&gt;"",DATE($A$2,$A$4,config!AM8),"")</f>
        <v>45565</v>
      </c>
      <c r="AH1" s="30" t="str">
        <f>IF(config!AN8&lt;&gt;"",DATE($A$2,$A$4,config!AN8),"")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日</v>
      </c>
      <c r="E2" s="12" t="str">
        <f t="shared" ref="E2:AH2" si="0">IF(COUNTIF(E3,1),"祝",TEXT(E1,"aaa"))</f>
        <v>月</v>
      </c>
      <c r="F2" s="12" t="str">
        <f t="shared" si="0"/>
        <v>火</v>
      </c>
      <c r="G2" s="12" t="str">
        <f t="shared" si="0"/>
        <v>水</v>
      </c>
      <c r="H2" s="13" t="str">
        <f t="shared" si="0"/>
        <v>木</v>
      </c>
      <c r="I2" s="17" t="str">
        <f t="shared" si="0"/>
        <v>金</v>
      </c>
      <c r="J2" s="12" t="str">
        <f t="shared" si="0"/>
        <v>土</v>
      </c>
      <c r="K2" s="12" t="str">
        <f t="shared" si="0"/>
        <v>日</v>
      </c>
      <c r="L2" s="12" t="str">
        <f t="shared" si="0"/>
        <v>月</v>
      </c>
      <c r="M2" s="14" t="str">
        <f t="shared" si="0"/>
        <v>火</v>
      </c>
      <c r="N2" s="11" t="str">
        <f t="shared" si="0"/>
        <v>水</v>
      </c>
      <c r="O2" s="12" t="str">
        <f t="shared" si="0"/>
        <v>木</v>
      </c>
      <c r="P2" s="12" t="str">
        <f t="shared" si="0"/>
        <v>金</v>
      </c>
      <c r="Q2" s="12" t="str">
        <f t="shared" si="0"/>
        <v>土</v>
      </c>
      <c r="R2" s="13" t="str">
        <f t="shared" si="0"/>
        <v>日</v>
      </c>
      <c r="S2" s="17" t="str">
        <f t="shared" si="0"/>
        <v>月</v>
      </c>
      <c r="T2" s="12" t="str">
        <f t="shared" si="0"/>
        <v>火</v>
      </c>
      <c r="U2" s="12" t="str">
        <f t="shared" si="0"/>
        <v>水</v>
      </c>
      <c r="V2" s="12" t="str">
        <f t="shared" si="0"/>
        <v>木</v>
      </c>
      <c r="W2" s="14" t="str">
        <f t="shared" si="0"/>
        <v>金</v>
      </c>
      <c r="X2" s="11" t="str">
        <f t="shared" si="0"/>
        <v>土</v>
      </c>
      <c r="Y2" s="12" t="str">
        <f t="shared" si="0"/>
        <v>日</v>
      </c>
      <c r="Z2" s="12" t="str">
        <f t="shared" si="0"/>
        <v>月</v>
      </c>
      <c r="AA2" s="12" t="str">
        <f t="shared" si="0"/>
        <v>火</v>
      </c>
      <c r="AB2" s="13" t="str">
        <f t="shared" si="0"/>
        <v>水</v>
      </c>
      <c r="AC2" s="17" t="str">
        <f t="shared" si="0"/>
        <v>木</v>
      </c>
      <c r="AD2" s="12" t="str">
        <f t="shared" si="0"/>
        <v>金</v>
      </c>
      <c r="AE2" s="12" t="str">
        <f t="shared" si="0"/>
        <v>土</v>
      </c>
      <c r="AF2" s="12" t="str">
        <f t="shared" si="0"/>
        <v>日</v>
      </c>
      <c r="AG2" s="14" t="str">
        <f t="shared" si="0"/>
        <v>月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9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>／</v>
      </c>
      <c r="K4" s="7" t="str">
        <f t="shared" si="1"/>
        <v>／</v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>／</v>
      </c>
      <c r="R4" s="22" t="str">
        <f t="shared" si="1"/>
        <v>／</v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>／</v>
      </c>
      <c r="Y4" s="7" t="str">
        <f t="shared" si="2"/>
        <v>／</v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>／</v>
      </c>
      <c r="AF4" s="7" t="str">
        <f t="shared" si="2"/>
        <v>／</v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>／</v>
      </c>
      <c r="K5" s="3" t="str">
        <f t="shared" si="1"/>
        <v>／</v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>／</v>
      </c>
      <c r="R5" s="24" t="str">
        <f t="shared" si="1"/>
        <v>／</v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>／</v>
      </c>
      <c r="Y5" s="3" t="str">
        <f t="shared" si="2"/>
        <v>／</v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>／</v>
      </c>
      <c r="AF5" s="3" t="str">
        <f t="shared" si="2"/>
        <v>／</v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/9HwcrGklsNuSOwCq14Xn8xOct2OGkFFhOnrAP/vuOPO1bIDn1ZsJBMB3vYBnNt1ZAWWcPv9VWswDeY/TFK4Fg==" saltValue="mtxIxsYs2r6wNKtHGT53Fw==" spinCount="100000" sheet="1" objects="1" scenarios="1"/>
  <phoneticPr fontId="1"/>
  <conditionalFormatting sqref="D1:AH1048576">
    <cfRule type="expression" dxfId="6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AH208"/>
  <sheetViews>
    <sheetView workbookViewId="0">
      <selection activeCell="AI7" sqref="AI7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IF(config!J9&lt;&gt;"",DATE($A$2,$A$4,config!J9),"")</f>
        <v>45566</v>
      </c>
      <c r="E1" s="9">
        <f>IF(config!K9&lt;&gt;"",DATE($A$2,$A$4,config!K9),"")</f>
        <v>45567</v>
      </c>
      <c r="F1" s="9">
        <f>IF(config!L9&lt;&gt;"",DATE($A$2,$A$4,config!L9),"")</f>
        <v>45568</v>
      </c>
      <c r="G1" s="9">
        <f>IF(config!M9&lt;&gt;"",DATE($A$2,$A$4,config!M9),"")</f>
        <v>45569</v>
      </c>
      <c r="H1" s="10">
        <f>IF(config!N9&lt;&gt;"",DATE($A$2,$A$4,config!N9),"")</f>
        <v>45570</v>
      </c>
      <c r="I1" s="16">
        <f>IF(config!O9&lt;&gt;"",DATE($A$2,$A$4,config!O9),"")</f>
        <v>45571</v>
      </c>
      <c r="J1" s="9">
        <f>IF(config!P9&lt;&gt;"",DATE($A$2,$A$4,config!P9),"")</f>
        <v>45572</v>
      </c>
      <c r="K1" s="9">
        <f>IF(config!Q9&lt;&gt;"",DATE($A$2,$A$4,config!Q9),"")</f>
        <v>45573</v>
      </c>
      <c r="L1" s="9">
        <f>IF(config!R9&lt;&gt;"",DATE($A$2,$A$4,config!R9),"")</f>
        <v>45574</v>
      </c>
      <c r="M1" s="27">
        <f>IF(config!S9&lt;&gt;"",DATE($A$2,$A$4,config!S9),"")</f>
        <v>45575</v>
      </c>
      <c r="N1" s="20">
        <f>IF(config!T9&lt;&gt;"",DATE($A$2,$A$4,config!T9),"")</f>
        <v>45576</v>
      </c>
      <c r="O1" s="9">
        <f>IF(config!U9&lt;&gt;"",DATE($A$2,$A$4,config!U9),"")</f>
        <v>45577</v>
      </c>
      <c r="P1" s="9">
        <f>IF(config!V9&lt;&gt;"",DATE($A$2,$A$4,config!V9),"")</f>
        <v>45578</v>
      </c>
      <c r="Q1" s="9">
        <f>IF(config!W9&lt;&gt;"",DATE($A$2,$A$4,config!W9),"")</f>
        <v>45579</v>
      </c>
      <c r="R1" s="10">
        <f>IF(config!X9&lt;&gt;"",DATE($A$2,$A$4,config!X9),"")</f>
        <v>45580</v>
      </c>
      <c r="S1" s="16">
        <f>IF(config!Y9&lt;&gt;"",DATE($A$2,$A$4,config!Y9),"")</f>
        <v>45581</v>
      </c>
      <c r="T1" s="9">
        <f>IF(config!Z9&lt;&gt;"",DATE($A$2,$A$4,config!Z9),"")</f>
        <v>45582</v>
      </c>
      <c r="U1" s="9">
        <f>IF(config!AA9&lt;&gt;"",DATE($A$2,$A$4,config!AA9),"")</f>
        <v>45583</v>
      </c>
      <c r="V1" s="9">
        <f>IF(config!AB9&lt;&gt;"",DATE($A$2,$A$4,config!AB9),"")</f>
        <v>45584</v>
      </c>
      <c r="W1" s="27">
        <f>IF(config!AC9&lt;&gt;"",DATE($A$2,$A$4,config!AC9),"")</f>
        <v>45585</v>
      </c>
      <c r="X1" s="20">
        <f>IF(config!AD9&lt;&gt;"",DATE($A$2,$A$4,config!AD9),"")</f>
        <v>45586</v>
      </c>
      <c r="Y1" s="9">
        <f>IF(config!AE9&lt;&gt;"",DATE($A$2,$A$4,config!AE9),"")</f>
        <v>45587</v>
      </c>
      <c r="Z1" s="9">
        <f>IF(config!AF9&lt;&gt;"",DATE($A$2,$A$4,config!AF9),"")</f>
        <v>45588</v>
      </c>
      <c r="AA1" s="9">
        <f>IF(config!AG9&lt;&gt;"",DATE($A$2,$A$4,config!AG9),"")</f>
        <v>45589</v>
      </c>
      <c r="AB1" s="10">
        <f>IF(config!AH9&lt;&gt;"",DATE($A$2,$A$4,config!AH9),"")</f>
        <v>45590</v>
      </c>
      <c r="AC1" s="16">
        <f>IF(config!AI9&lt;&gt;"",DATE($A$2,$A$4,config!AI9),"")</f>
        <v>45591</v>
      </c>
      <c r="AD1" s="9">
        <f>IF(config!AJ9&lt;&gt;"",DATE($A$2,$A$4,config!AJ9),"")</f>
        <v>45592</v>
      </c>
      <c r="AE1" s="9">
        <f>IF(config!AK9&lt;&gt;"",DATE($A$2,$A$4,config!AK9),"")</f>
        <v>45593</v>
      </c>
      <c r="AF1" s="9">
        <f>IF(config!AL9&lt;&gt;"",DATE($A$2,$A$4,config!AL9),"")</f>
        <v>45594</v>
      </c>
      <c r="AG1" s="27">
        <f>IF(config!AM9&lt;&gt;"",DATE($A$2,$A$4,config!AM9),"")</f>
        <v>45595</v>
      </c>
      <c r="AH1" s="30">
        <f>IF(config!AN9&lt;&gt;"",DATE($A$2,$A$4,config!AN9),"")</f>
        <v>45596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火</v>
      </c>
      <c r="E2" s="12" t="str">
        <f t="shared" ref="E2:AH2" si="0">IF(COUNTIF(E3,1),"祝",TEXT(E1,"aaa"))</f>
        <v>水</v>
      </c>
      <c r="F2" s="12" t="str">
        <f t="shared" si="0"/>
        <v>木</v>
      </c>
      <c r="G2" s="12" t="str">
        <f t="shared" si="0"/>
        <v>金</v>
      </c>
      <c r="H2" s="13" t="str">
        <f t="shared" si="0"/>
        <v>土</v>
      </c>
      <c r="I2" s="17" t="str">
        <f t="shared" si="0"/>
        <v>日</v>
      </c>
      <c r="J2" s="12" t="str">
        <f t="shared" si="0"/>
        <v>月</v>
      </c>
      <c r="K2" s="12" t="str">
        <f t="shared" si="0"/>
        <v>火</v>
      </c>
      <c r="L2" s="12" t="str">
        <f t="shared" si="0"/>
        <v>水</v>
      </c>
      <c r="M2" s="14" t="str">
        <f t="shared" si="0"/>
        <v>木</v>
      </c>
      <c r="N2" s="11" t="str">
        <f t="shared" si="0"/>
        <v>金</v>
      </c>
      <c r="O2" s="12" t="str">
        <f t="shared" si="0"/>
        <v>土</v>
      </c>
      <c r="P2" s="12" t="str">
        <f t="shared" si="0"/>
        <v>日</v>
      </c>
      <c r="Q2" s="12" t="str">
        <f t="shared" si="0"/>
        <v>月</v>
      </c>
      <c r="R2" s="13" t="str">
        <f t="shared" si="0"/>
        <v>火</v>
      </c>
      <c r="S2" s="17" t="str">
        <f t="shared" si="0"/>
        <v>水</v>
      </c>
      <c r="T2" s="12" t="str">
        <f t="shared" si="0"/>
        <v>木</v>
      </c>
      <c r="U2" s="12" t="str">
        <f t="shared" si="0"/>
        <v>金</v>
      </c>
      <c r="V2" s="12" t="str">
        <f t="shared" si="0"/>
        <v>土</v>
      </c>
      <c r="W2" s="14" t="str">
        <f t="shared" si="0"/>
        <v>日</v>
      </c>
      <c r="X2" s="11" t="str">
        <f t="shared" si="0"/>
        <v>月</v>
      </c>
      <c r="Y2" s="12" t="str">
        <f t="shared" si="0"/>
        <v>火</v>
      </c>
      <c r="Z2" s="12" t="str">
        <f t="shared" si="0"/>
        <v>水</v>
      </c>
      <c r="AA2" s="12" t="str">
        <f t="shared" si="0"/>
        <v>木</v>
      </c>
      <c r="AB2" s="13" t="str">
        <f t="shared" si="0"/>
        <v>金</v>
      </c>
      <c r="AC2" s="17" t="str">
        <f t="shared" si="0"/>
        <v>土</v>
      </c>
      <c r="AD2" s="12" t="str">
        <f t="shared" si="0"/>
        <v>日</v>
      </c>
      <c r="AE2" s="12" t="str">
        <f t="shared" si="0"/>
        <v>月</v>
      </c>
      <c r="AF2" s="12" t="str">
        <f t="shared" si="0"/>
        <v>火</v>
      </c>
      <c r="AG2" s="14" t="str">
        <f t="shared" si="0"/>
        <v>水</v>
      </c>
      <c r="AH2" s="31" t="str">
        <f t="shared" si="0"/>
        <v>木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10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>／</v>
      </c>
      <c r="I4" s="18" t="str">
        <f t="shared" si="1"/>
        <v>／</v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>／</v>
      </c>
      <c r="P4" s="7" t="str">
        <f t="shared" si="1"/>
        <v>／</v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>／</v>
      </c>
      <c r="W4" s="28" t="str">
        <f t="shared" si="2"/>
        <v>／</v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>／</v>
      </c>
      <c r="AD4" s="7" t="str">
        <f t="shared" si="2"/>
        <v>／</v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>／</v>
      </c>
      <c r="I5" s="19" t="str">
        <f t="shared" si="1"/>
        <v>／</v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>／</v>
      </c>
      <c r="P5" s="3" t="str">
        <f t="shared" si="1"/>
        <v>／</v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>／</v>
      </c>
      <c r="W5" s="15" t="str">
        <f t="shared" si="2"/>
        <v>／</v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>／</v>
      </c>
      <c r="AD5" s="3" t="str">
        <f t="shared" si="2"/>
        <v>／</v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WPlLp0mnYOqdomX7ccEH578Xi9bUR4s8VBa0Mqez/CqOR8H2Z+YBBBzgHnyvVYfHuCLwg6t7dOtZdjkIAWoefQ==" saltValue="uMxqErQXUcVlmscQbrdrzQ==" spinCount="100000" sheet="1" objects="1" scenarios="1"/>
  <phoneticPr fontId="1"/>
  <conditionalFormatting sqref="D1:AH1048576">
    <cfRule type="expression" dxfId="5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AH208"/>
  <sheetViews>
    <sheetView workbookViewId="0">
      <selection activeCell="AE6" sqref="AE6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IF(config!J10&lt;&gt;"",DATE($A$2,$A$4,config!J10),"")</f>
        <v>45597</v>
      </c>
      <c r="E1" s="9">
        <f>IF(config!K10&lt;&gt;"",DATE($A$2,$A$4,config!K10),"")</f>
        <v>45598</v>
      </c>
      <c r="F1" s="9">
        <f>IF(config!L10&lt;&gt;"",DATE($A$2,$A$4,config!L10),"")</f>
        <v>45599</v>
      </c>
      <c r="G1" s="9">
        <f>IF(config!M10&lt;&gt;"",DATE($A$2,$A$4,config!M10),"")</f>
        <v>45600</v>
      </c>
      <c r="H1" s="10">
        <f>IF(config!N10&lt;&gt;"",DATE($A$2,$A$4,config!N10),"")</f>
        <v>45601</v>
      </c>
      <c r="I1" s="16">
        <f>IF(config!O10&lt;&gt;"",DATE($A$2,$A$4,config!O10),"")</f>
        <v>45602</v>
      </c>
      <c r="J1" s="9">
        <f>IF(config!P10&lt;&gt;"",DATE($A$2,$A$4,config!P10),"")</f>
        <v>45603</v>
      </c>
      <c r="K1" s="9">
        <f>IF(config!Q10&lt;&gt;"",DATE($A$2,$A$4,config!Q10),"")</f>
        <v>45604</v>
      </c>
      <c r="L1" s="9">
        <f>IF(config!R10&lt;&gt;"",DATE($A$2,$A$4,config!R10),"")</f>
        <v>45605</v>
      </c>
      <c r="M1" s="27">
        <f>IF(config!S10&lt;&gt;"",DATE($A$2,$A$4,config!S10),"")</f>
        <v>45606</v>
      </c>
      <c r="N1" s="20">
        <f>IF(config!T10&lt;&gt;"",DATE($A$2,$A$4,config!T10),"")</f>
        <v>45607</v>
      </c>
      <c r="O1" s="9">
        <f>IF(config!U10&lt;&gt;"",DATE($A$2,$A$4,config!U10),"")</f>
        <v>45608</v>
      </c>
      <c r="P1" s="9">
        <f>IF(config!V10&lt;&gt;"",DATE($A$2,$A$4,config!V10),"")</f>
        <v>45609</v>
      </c>
      <c r="Q1" s="9">
        <f>IF(config!W10&lt;&gt;"",DATE($A$2,$A$4,config!W10),"")</f>
        <v>45610</v>
      </c>
      <c r="R1" s="10">
        <f>IF(config!X10&lt;&gt;"",DATE($A$2,$A$4,config!X10),"")</f>
        <v>45611</v>
      </c>
      <c r="S1" s="16">
        <f>IF(config!Y10&lt;&gt;"",DATE($A$2,$A$4,config!Y10),"")</f>
        <v>45612</v>
      </c>
      <c r="T1" s="9">
        <f>IF(config!Z10&lt;&gt;"",DATE($A$2,$A$4,config!Z10),"")</f>
        <v>45613</v>
      </c>
      <c r="U1" s="9">
        <f>IF(config!AA10&lt;&gt;"",DATE($A$2,$A$4,config!AA10),"")</f>
        <v>45614</v>
      </c>
      <c r="V1" s="9">
        <f>IF(config!AB10&lt;&gt;"",DATE($A$2,$A$4,config!AB10),"")</f>
        <v>45615</v>
      </c>
      <c r="W1" s="27">
        <f>IF(config!AC10&lt;&gt;"",DATE($A$2,$A$4,config!AC10),"")</f>
        <v>45616</v>
      </c>
      <c r="X1" s="20">
        <f>IF(config!AD10&lt;&gt;"",DATE($A$2,$A$4,config!AD10),"")</f>
        <v>45617</v>
      </c>
      <c r="Y1" s="9">
        <f>IF(config!AE10&lt;&gt;"",DATE($A$2,$A$4,config!AE10),"")</f>
        <v>45618</v>
      </c>
      <c r="Z1" s="9">
        <f>IF(config!AF10&lt;&gt;"",DATE($A$2,$A$4,config!AF10),"")</f>
        <v>45619</v>
      </c>
      <c r="AA1" s="9">
        <f>IF(config!AG10&lt;&gt;"",DATE($A$2,$A$4,config!AG10),"")</f>
        <v>45620</v>
      </c>
      <c r="AB1" s="10">
        <f>IF(config!AH10&lt;&gt;"",DATE($A$2,$A$4,config!AH10),"")</f>
        <v>45621</v>
      </c>
      <c r="AC1" s="16">
        <f>IF(config!AI10&lt;&gt;"",DATE($A$2,$A$4,config!AI10),"")</f>
        <v>45622</v>
      </c>
      <c r="AD1" s="9">
        <f>IF(config!AJ10&lt;&gt;"",DATE($A$2,$A$4,config!AJ10),"")</f>
        <v>45623</v>
      </c>
      <c r="AE1" s="9">
        <f>IF(config!AK10&lt;&gt;"",DATE($A$2,$A$4,config!AK10),"")</f>
        <v>45624</v>
      </c>
      <c r="AF1" s="9">
        <f>IF(config!AL10&lt;&gt;"",DATE($A$2,$A$4,config!AL10),"")</f>
        <v>45625</v>
      </c>
      <c r="AG1" s="27">
        <f>IF(config!AM10&lt;&gt;"",DATE($A$2,$A$4,config!AM10),"")</f>
        <v>45626</v>
      </c>
      <c r="AH1" s="30" t="str">
        <f>IF(config!AN10&lt;&gt;"",DATE($A$2,$A$4,config!AN10),"")</f>
        <v/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金</v>
      </c>
      <c r="E2" s="12" t="str">
        <f t="shared" ref="E2:AH2" si="0">IF(COUNTIF(E3,1),"祝",TEXT(E1,"aaa"))</f>
        <v>土</v>
      </c>
      <c r="F2" s="12" t="str">
        <f t="shared" si="0"/>
        <v>日</v>
      </c>
      <c r="G2" s="12" t="str">
        <f t="shared" si="0"/>
        <v>月</v>
      </c>
      <c r="H2" s="13" t="str">
        <f t="shared" si="0"/>
        <v>火</v>
      </c>
      <c r="I2" s="17" t="str">
        <f t="shared" si="0"/>
        <v>水</v>
      </c>
      <c r="J2" s="12" t="str">
        <f t="shared" si="0"/>
        <v>木</v>
      </c>
      <c r="K2" s="12" t="str">
        <f t="shared" si="0"/>
        <v>金</v>
      </c>
      <c r="L2" s="12" t="str">
        <f t="shared" si="0"/>
        <v>土</v>
      </c>
      <c r="M2" s="14" t="str">
        <f t="shared" si="0"/>
        <v>日</v>
      </c>
      <c r="N2" s="11" t="str">
        <f t="shared" si="0"/>
        <v>月</v>
      </c>
      <c r="O2" s="12" t="str">
        <f t="shared" si="0"/>
        <v>火</v>
      </c>
      <c r="P2" s="12" t="str">
        <f t="shared" si="0"/>
        <v>水</v>
      </c>
      <c r="Q2" s="12" t="str">
        <f t="shared" si="0"/>
        <v>木</v>
      </c>
      <c r="R2" s="13" t="str">
        <f t="shared" si="0"/>
        <v>金</v>
      </c>
      <c r="S2" s="17" t="str">
        <f t="shared" si="0"/>
        <v>土</v>
      </c>
      <c r="T2" s="12" t="str">
        <f t="shared" si="0"/>
        <v>日</v>
      </c>
      <c r="U2" s="12" t="str">
        <f t="shared" si="0"/>
        <v>月</v>
      </c>
      <c r="V2" s="12" t="str">
        <f t="shared" si="0"/>
        <v>火</v>
      </c>
      <c r="W2" s="14" t="str">
        <f t="shared" si="0"/>
        <v>水</v>
      </c>
      <c r="X2" s="11" t="str">
        <f t="shared" si="0"/>
        <v>木</v>
      </c>
      <c r="Y2" s="12" t="str">
        <f t="shared" si="0"/>
        <v>金</v>
      </c>
      <c r="Z2" s="12" t="str">
        <f t="shared" si="0"/>
        <v>土</v>
      </c>
      <c r="AA2" s="12" t="str">
        <f t="shared" si="0"/>
        <v>日</v>
      </c>
      <c r="AB2" s="13" t="str">
        <f t="shared" si="0"/>
        <v>月</v>
      </c>
      <c r="AC2" s="17" t="str">
        <f t="shared" si="0"/>
        <v>火</v>
      </c>
      <c r="AD2" s="12" t="str">
        <f t="shared" si="0"/>
        <v>水</v>
      </c>
      <c r="AE2" s="12" t="str">
        <f t="shared" si="0"/>
        <v>木</v>
      </c>
      <c r="AF2" s="12" t="str">
        <f t="shared" si="0"/>
        <v>金</v>
      </c>
      <c r="AG2" s="14" t="str">
        <f t="shared" si="0"/>
        <v>土</v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11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>／</v>
      </c>
      <c r="F4" s="7" t="str">
        <f t="shared" si="1"/>
        <v>／</v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>／</v>
      </c>
      <c r="M4" s="28" t="str">
        <f t="shared" si="1"/>
        <v>／</v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>／</v>
      </c>
      <c r="T4" s="7" t="str">
        <f t="shared" si="1"/>
        <v>／</v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>／</v>
      </c>
      <c r="AA4" s="7" t="str">
        <f t="shared" si="2"/>
        <v>／</v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>／</v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>／</v>
      </c>
      <c r="F5" s="3" t="str">
        <f t="shared" si="1"/>
        <v>／</v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>／</v>
      </c>
      <c r="M5" s="15" t="str">
        <f t="shared" si="1"/>
        <v>／</v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>／</v>
      </c>
      <c r="T5" s="3" t="str">
        <f t="shared" si="1"/>
        <v>／</v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>／</v>
      </c>
      <c r="AA5" s="3" t="str">
        <f t="shared" si="2"/>
        <v>／</v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>／</v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qnaWS8p2NuvGZMN26nWryvTYAZpeS2l4Z5XtFbkuFCAk6sFyu0dWBimP6fBrTJAAxXyHLju9FElUkNgbRGMd/A==" saltValue="ezyzbg6q3UzcW/BZXFGztA==" spinCount="100000" sheet="1" objects="1" scenarios="1"/>
  <phoneticPr fontId="1"/>
  <conditionalFormatting sqref="D1:AH1048576">
    <cfRule type="expression" dxfId="4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H208"/>
  <sheetViews>
    <sheetView workbookViewId="0">
      <selection activeCell="AH1" sqref="AH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IF(config!J11&lt;&gt;"",DATE($A$2,$A$4,config!J11),"")</f>
        <v>45627</v>
      </c>
      <c r="E1" s="9">
        <f>IF(config!K11&lt;&gt;"",DATE($A$2,$A$4,config!K11),"")</f>
        <v>45628</v>
      </c>
      <c r="F1" s="9">
        <f>IF(config!L11&lt;&gt;"",DATE($A$2,$A$4,config!L11),"")</f>
        <v>45629</v>
      </c>
      <c r="G1" s="9">
        <f>IF(config!M11&lt;&gt;"",DATE($A$2,$A$4,config!M11),"")</f>
        <v>45630</v>
      </c>
      <c r="H1" s="10">
        <f>IF(config!N11&lt;&gt;"",DATE($A$2,$A$4,config!N11),"")</f>
        <v>45631</v>
      </c>
      <c r="I1" s="16">
        <f>IF(config!O11&lt;&gt;"",DATE($A$2,$A$4,config!O11),"")</f>
        <v>45632</v>
      </c>
      <c r="J1" s="9">
        <f>IF(config!P11&lt;&gt;"",DATE($A$2,$A$4,config!P11),"")</f>
        <v>45633</v>
      </c>
      <c r="K1" s="9">
        <f>IF(config!Q11&lt;&gt;"",DATE($A$2,$A$4,config!Q11),"")</f>
        <v>45634</v>
      </c>
      <c r="L1" s="9">
        <f>IF(config!R11&lt;&gt;"",DATE($A$2,$A$4,config!R11),"")</f>
        <v>45635</v>
      </c>
      <c r="M1" s="27">
        <f>IF(config!S11&lt;&gt;"",DATE($A$2,$A$4,config!S11),"")</f>
        <v>45636</v>
      </c>
      <c r="N1" s="20">
        <f>IF(config!T11&lt;&gt;"",DATE($A$2,$A$4,config!T11),"")</f>
        <v>45637</v>
      </c>
      <c r="O1" s="9">
        <f>IF(config!U11&lt;&gt;"",DATE($A$2,$A$4,config!U11),"")</f>
        <v>45638</v>
      </c>
      <c r="P1" s="9">
        <f>IF(config!V11&lt;&gt;"",DATE($A$2,$A$4,config!V11),"")</f>
        <v>45639</v>
      </c>
      <c r="Q1" s="9">
        <f>IF(config!W11&lt;&gt;"",DATE($A$2,$A$4,config!W11),"")</f>
        <v>45640</v>
      </c>
      <c r="R1" s="10">
        <f>IF(config!X11&lt;&gt;"",DATE($A$2,$A$4,config!X11),"")</f>
        <v>45641</v>
      </c>
      <c r="S1" s="16">
        <f>IF(config!Y11&lt;&gt;"",DATE($A$2,$A$4,config!Y11),"")</f>
        <v>45642</v>
      </c>
      <c r="T1" s="9">
        <f>IF(config!Z11&lt;&gt;"",DATE($A$2,$A$4,config!Z11),"")</f>
        <v>45643</v>
      </c>
      <c r="U1" s="9">
        <f>IF(config!AA11&lt;&gt;"",DATE($A$2,$A$4,config!AA11),"")</f>
        <v>45644</v>
      </c>
      <c r="V1" s="9">
        <f>IF(config!AB11&lt;&gt;"",DATE($A$2,$A$4,config!AB11),"")</f>
        <v>45645</v>
      </c>
      <c r="W1" s="27">
        <f>IF(config!AC11&lt;&gt;"",DATE($A$2,$A$4,config!AC11),"")</f>
        <v>45646</v>
      </c>
      <c r="X1" s="20">
        <f>IF(config!AD11&lt;&gt;"",DATE($A$2,$A$4,config!AD11),"")</f>
        <v>45647</v>
      </c>
      <c r="Y1" s="9">
        <f>IF(config!AE11&lt;&gt;"",DATE($A$2,$A$4,config!AE11),"")</f>
        <v>45648</v>
      </c>
      <c r="Z1" s="9">
        <f>IF(config!AF11&lt;&gt;"",DATE($A$2,$A$4,config!AF11),"")</f>
        <v>45649</v>
      </c>
      <c r="AA1" s="9">
        <f>IF(config!AG11&lt;&gt;"",DATE($A$2,$A$4,config!AG11),"")</f>
        <v>45650</v>
      </c>
      <c r="AB1" s="10">
        <f>IF(config!AH11&lt;&gt;"",DATE($A$2,$A$4,config!AH11),"")</f>
        <v>45651</v>
      </c>
      <c r="AC1" s="16">
        <f>IF(config!AI11&lt;&gt;"",DATE($A$2,$A$4,config!AI11),"")</f>
        <v>45652</v>
      </c>
      <c r="AD1" s="9">
        <f>IF(config!AJ11&lt;&gt;"",DATE($A$2,$A$4,config!AJ11),"")</f>
        <v>45653</v>
      </c>
      <c r="AE1" s="9">
        <f>IF(config!AK11&lt;&gt;"",DATE($A$2,$A$4,config!AK11),"")</f>
        <v>45654</v>
      </c>
      <c r="AF1" s="9">
        <f>IF(config!AL11&lt;&gt;"",DATE($A$2,$A$4,config!AL11),"")</f>
        <v>45655</v>
      </c>
      <c r="AG1" s="27">
        <f>IF(config!AM11&lt;&gt;"",DATE($A$2,$A$4,config!AM11),"")</f>
        <v>45656</v>
      </c>
      <c r="AH1" s="30">
        <f>IF(config!AN11&lt;&gt;"",DATE($A$2,$A$4,config!AN11),"")</f>
        <v>45657</v>
      </c>
    </row>
    <row r="2" spans="1:34" ht="19.5" thickBot="1" x14ac:dyDescent="0.45">
      <c r="A2" s="2">
        <f>IF(A4&lt;=3,config!$D$2+1,config!$D$2)</f>
        <v>2024</v>
      </c>
      <c r="B2" s="11" t="s">
        <v>13</v>
      </c>
      <c r="C2" s="13" t="s">
        <v>12</v>
      </c>
      <c r="D2" s="11" t="str">
        <f>IF(COUNTIF(D3,1),"祝",TEXT(D1,"aaa"))</f>
        <v>日</v>
      </c>
      <c r="E2" s="12" t="str">
        <f t="shared" ref="E2:AH2" si="0">IF(COUNTIF(E3,1),"祝",TEXT(E1,"aaa"))</f>
        <v>月</v>
      </c>
      <c r="F2" s="12" t="str">
        <f t="shared" si="0"/>
        <v>火</v>
      </c>
      <c r="G2" s="12" t="str">
        <f t="shared" si="0"/>
        <v>水</v>
      </c>
      <c r="H2" s="13" t="str">
        <f t="shared" si="0"/>
        <v>木</v>
      </c>
      <c r="I2" s="17" t="str">
        <f t="shared" si="0"/>
        <v>金</v>
      </c>
      <c r="J2" s="12" t="str">
        <f t="shared" si="0"/>
        <v>土</v>
      </c>
      <c r="K2" s="12" t="str">
        <f t="shared" si="0"/>
        <v>日</v>
      </c>
      <c r="L2" s="12" t="str">
        <f t="shared" si="0"/>
        <v>月</v>
      </c>
      <c r="M2" s="14" t="str">
        <f t="shared" si="0"/>
        <v>火</v>
      </c>
      <c r="N2" s="11" t="str">
        <f t="shared" si="0"/>
        <v>水</v>
      </c>
      <c r="O2" s="12" t="str">
        <f t="shared" si="0"/>
        <v>木</v>
      </c>
      <c r="P2" s="12" t="str">
        <f t="shared" si="0"/>
        <v>金</v>
      </c>
      <c r="Q2" s="12" t="str">
        <f t="shared" si="0"/>
        <v>土</v>
      </c>
      <c r="R2" s="13" t="str">
        <f t="shared" si="0"/>
        <v>日</v>
      </c>
      <c r="S2" s="17" t="str">
        <f t="shared" si="0"/>
        <v>月</v>
      </c>
      <c r="T2" s="12" t="str">
        <f t="shared" si="0"/>
        <v>火</v>
      </c>
      <c r="U2" s="12" t="str">
        <f t="shared" si="0"/>
        <v>水</v>
      </c>
      <c r="V2" s="12" t="str">
        <f t="shared" si="0"/>
        <v>木</v>
      </c>
      <c r="W2" s="14" t="str">
        <f t="shared" si="0"/>
        <v>金</v>
      </c>
      <c r="X2" s="11" t="str">
        <f t="shared" si="0"/>
        <v>土</v>
      </c>
      <c r="Y2" s="12" t="str">
        <f t="shared" si="0"/>
        <v>日</v>
      </c>
      <c r="Z2" s="12" t="str">
        <f t="shared" si="0"/>
        <v>月</v>
      </c>
      <c r="AA2" s="12" t="str">
        <f t="shared" si="0"/>
        <v>火</v>
      </c>
      <c r="AB2" s="13" t="str">
        <f t="shared" si="0"/>
        <v>水</v>
      </c>
      <c r="AC2" s="17" t="str">
        <f t="shared" si="0"/>
        <v>木</v>
      </c>
      <c r="AD2" s="12" t="str">
        <f t="shared" si="0"/>
        <v>金</v>
      </c>
      <c r="AE2" s="12" t="str">
        <f t="shared" si="0"/>
        <v>土</v>
      </c>
      <c r="AF2" s="12" t="str">
        <f t="shared" si="0"/>
        <v>日</v>
      </c>
      <c r="AG2" s="14" t="str">
        <f t="shared" si="0"/>
        <v>月</v>
      </c>
      <c r="AH2" s="31" t="str">
        <f t="shared" si="0"/>
        <v>火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12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>／</v>
      </c>
      <c r="K4" s="7" t="str">
        <f t="shared" si="1"/>
        <v>／</v>
      </c>
      <c r="L4" s="7" t="str">
        <f t="shared" si="1"/>
        <v/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>／</v>
      </c>
      <c r="R4" s="22" t="str">
        <f t="shared" si="1"/>
        <v>／</v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>／</v>
      </c>
      <c r="Y4" s="7" t="str">
        <f t="shared" si="2"/>
        <v>／</v>
      </c>
      <c r="Z4" s="7" t="str">
        <f t="shared" si="2"/>
        <v/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>／</v>
      </c>
      <c r="AF4" s="7" t="str">
        <f t="shared" si="2"/>
        <v>／</v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/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>／</v>
      </c>
      <c r="K5" s="3" t="str">
        <f t="shared" si="1"/>
        <v>／</v>
      </c>
      <c r="L5" s="3" t="str">
        <f t="shared" si="1"/>
        <v/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>／</v>
      </c>
      <c r="R5" s="24" t="str">
        <f t="shared" si="1"/>
        <v>／</v>
      </c>
      <c r="S5" s="19" t="str">
        <f t="shared" si="1"/>
        <v/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>／</v>
      </c>
      <c r="Y5" s="3" t="str">
        <f t="shared" si="2"/>
        <v>／</v>
      </c>
      <c r="Z5" s="3" t="str">
        <f t="shared" si="2"/>
        <v/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>／</v>
      </c>
      <c r="AF5" s="3" t="str">
        <f t="shared" si="2"/>
        <v>／</v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oqmdElWvub/84reqQUdNvnLCQGgZVNFMtzEkw9pZzDeUb2gWwvduQ2odOIi9SG3l/xKeWhgI+7LeqJV2L8btyg==" saltValue="Js12WMOBEGSRRS2Z1JBN5Q==" spinCount="100000" sheet="1" objects="1" scenarios="1"/>
  <phoneticPr fontId="1"/>
  <conditionalFormatting sqref="D1:AH1048576">
    <cfRule type="expression" dxfId="3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AH208"/>
  <sheetViews>
    <sheetView workbookViewId="0">
      <selection activeCell="D6" sqref="D6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IF(config!J12&lt;&gt;"",DATE($A$2,$A$4,config!J12),"")</f>
        <v>45658</v>
      </c>
      <c r="E1" s="9">
        <f>IF(config!K12&lt;&gt;"",DATE($A$2,$A$4,config!K12),"")</f>
        <v>45659</v>
      </c>
      <c r="F1" s="9">
        <f>IF(config!L12&lt;&gt;"",DATE($A$2,$A$4,config!L12),"")</f>
        <v>45660</v>
      </c>
      <c r="G1" s="9">
        <f>IF(config!M12&lt;&gt;"",DATE($A$2,$A$4,config!M12),"")</f>
        <v>45661</v>
      </c>
      <c r="H1" s="10">
        <f>IF(config!N12&lt;&gt;"",DATE($A$2,$A$4,config!N12),"")</f>
        <v>45662</v>
      </c>
      <c r="I1" s="16">
        <f>IF(config!O12&lt;&gt;"",DATE($A$2,$A$4,config!O12),"")</f>
        <v>45663</v>
      </c>
      <c r="J1" s="9">
        <f>IF(config!P12&lt;&gt;"",DATE($A$2,$A$4,config!P12),"")</f>
        <v>45664</v>
      </c>
      <c r="K1" s="9">
        <f>IF(config!Q12&lt;&gt;"",DATE($A$2,$A$4,config!Q12),"")</f>
        <v>45665</v>
      </c>
      <c r="L1" s="9">
        <f>IF(config!R12&lt;&gt;"",DATE($A$2,$A$4,config!R12),"")</f>
        <v>45666</v>
      </c>
      <c r="M1" s="27">
        <f>IF(config!S12&lt;&gt;"",DATE($A$2,$A$4,config!S12),"")</f>
        <v>45667</v>
      </c>
      <c r="N1" s="20">
        <f>IF(config!T12&lt;&gt;"",DATE($A$2,$A$4,config!T12),"")</f>
        <v>45668</v>
      </c>
      <c r="O1" s="9">
        <f>IF(config!U12&lt;&gt;"",DATE($A$2,$A$4,config!U12),"")</f>
        <v>45669</v>
      </c>
      <c r="P1" s="9">
        <f>IF(config!V12&lt;&gt;"",DATE($A$2,$A$4,config!V12),"")</f>
        <v>45670</v>
      </c>
      <c r="Q1" s="9">
        <f>IF(config!W12&lt;&gt;"",DATE($A$2,$A$4,config!W12),"")</f>
        <v>45671</v>
      </c>
      <c r="R1" s="10">
        <f>IF(config!X12&lt;&gt;"",DATE($A$2,$A$4,config!X12),"")</f>
        <v>45672</v>
      </c>
      <c r="S1" s="16">
        <f>IF(config!Y12&lt;&gt;"",DATE($A$2,$A$4,config!Y12),"")</f>
        <v>45673</v>
      </c>
      <c r="T1" s="9">
        <f>IF(config!Z12&lt;&gt;"",DATE($A$2,$A$4,config!Z12),"")</f>
        <v>45674</v>
      </c>
      <c r="U1" s="9">
        <f>IF(config!AA12&lt;&gt;"",DATE($A$2,$A$4,config!AA12),"")</f>
        <v>45675</v>
      </c>
      <c r="V1" s="9">
        <f>IF(config!AB12&lt;&gt;"",DATE($A$2,$A$4,config!AB12),"")</f>
        <v>45676</v>
      </c>
      <c r="W1" s="27">
        <f>IF(config!AC12&lt;&gt;"",DATE($A$2,$A$4,config!AC12),"")</f>
        <v>45677</v>
      </c>
      <c r="X1" s="20">
        <f>IF(config!AD12&lt;&gt;"",DATE($A$2,$A$4,config!AD12),"")</f>
        <v>45678</v>
      </c>
      <c r="Y1" s="9">
        <f>IF(config!AE12&lt;&gt;"",DATE($A$2,$A$4,config!AE12),"")</f>
        <v>45679</v>
      </c>
      <c r="Z1" s="9">
        <f>IF(config!AF12&lt;&gt;"",DATE($A$2,$A$4,config!AF12),"")</f>
        <v>45680</v>
      </c>
      <c r="AA1" s="9">
        <f>IF(config!AG12&lt;&gt;"",DATE($A$2,$A$4,config!AG12),"")</f>
        <v>45681</v>
      </c>
      <c r="AB1" s="10">
        <f>IF(config!AH12&lt;&gt;"",DATE($A$2,$A$4,config!AH12),"")</f>
        <v>45682</v>
      </c>
      <c r="AC1" s="16">
        <f>IF(config!AI12&lt;&gt;"",DATE($A$2,$A$4,config!AI12),"")</f>
        <v>45683</v>
      </c>
      <c r="AD1" s="9">
        <f>IF(config!AJ12&lt;&gt;"",DATE($A$2,$A$4,config!AJ12),"")</f>
        <v>45684</v>
      </c>
      <c r="AE1" s="9">
        <f>IF(config!AK12&lt;&gt;"",DATE($A$2,$A$4,config!AK12),"")</f>
        <v>45685</v>
      </c>
      <c r="AF1" s="9">
        <f>IF(config!AL12&lt;&gt;"",DATE($A$2,$A$4,config!AL12),"")</f>
        <v>45686</v>
      </c>
      <c r="AG1" s="27">
        <f>IF(config!AM12&lt;&gt;"",DATE($A$2,$A$4,config!AM12),"")</f>
        <v>45687</v>
      </c>
      <c r="AH1" s="30">
        <f>IF(config!AN12&lt;&gt;"",DATE($A$2,$A$4,config!AN12),"")</f>
        <v>45688</v>
      </c>
    </row>
    <row r="2" spans="1:34" ht="19.5" thickBot="1" x14ac:dyDescent="0.45">
      <c r="A2" s="2">
        <f>IF(A4&lt;=3,config!$D$2+1,config!$D$2)</f>
        <v>2025</v>
      </c>
      <c r="B2" s="11" t="s">
        <v>13</v>
      </c>
      <c r="C2" s="13" t="s">
        <v>12</v>
      </c>
      <c r="D2" s="11" t="str">
        <f>IF(COUNTIF(D3,1),"祝",TEXT(D1,"aaa"))</f>
        <v>水</v>
      </c>
      <c r="E2" s="12" t="str">
        <f t="shared" ref="E2:AH2" si="0">IF(COUNTIF(E3,1),"祝",TEXT(E1,"aaa"))</f>
        <v>木</v>
      </c>
      <c r="F2" s="12" t="str">
        <f t="shared" si="0"/>
        <v>金</v>
      </c>
      <c r="G2" s="12" t="str">
        <f t="shared" si="0"/>
        <v>土</v>
      </c>
      <c r="H2" s="13" t="str">
        <f t="shared" si="0"/>
        <v>日</v>
      </c>
      <c r="I2" s="17" t="str">
        <f t="shared" si="0"/>
        <v>月</v>
      </c>
      <c r="J2" s="12" t="str">
        <f t="shared" si="0"/>
        <v>火</v>
      </c>
      <c r="K2" s="12" t="str">
        <f t="shared" si="0"/>
        <v>水</v>
      </c>
      <c r="L2" s="12" t="str">
        <f t="shared" si="0"/>
        <v>木</v>
      </c>
      <c r="M2" s="14" t="str">
        <f t="shared" si="0"/>
        <v>金</v>
      </c>
      <c r="N2" s="11" t="str">
        <f t="shared" si="0"/>
        <v>土</v>
      </c>
      <c r="O2" s="12" t="str">
        <f t="shared" si="0"/>
        <v>日</v>
      </c>
      <c r="P2" s="12" t="str">
        <f t="shared" si="0"/>
        <v>月</v>
      </c>
      <c r="Q2" s="12" t="str">
        <f t="shared" si="0"/>
        <v>火</v>
      </c>
      <c r="R2" s="13" t="str">
        <f t="shared" si="0"/>
        <v>水</v>
      </c>
      <c r="S2" s="17" t="str">
        <f t="shared" si="0"/>
        <v>木</v>
      </c>
      <c r="T2" s="12" t="str">
        <f t="shared" si="0"/>
        <v>金</v>
      </c>
      <c r="U2" s="12" t="str">
        <f t="shared" si="0"/>
        <v>土</v>
      </c>
      <c r="V2" s="12" t="str">
        <f t="shared" si="0"/>
        <v>日</v>
      </c>
      <c r="W2" s="14" t="str">
        <f t="shared" si="0"/>
        <v>月</v>
      </c>
      <c r="X2" s="11" t="str">
        <f t="shared" si="0"/>
        <v>火</v>
      </c>
      <c r="Y2" s="12" t="str">
        <f t="shared" si="0"/>
        <v>水</v>
      </c>
      <c r="Z2" s="12" t="str">
        <f t="shared" si="0"/>
        <v>木</v>
      </c>
      <c r="AA2" s="12" t="str">
        <f t="shared" si="0"/>
        <v>金</v>
      </c>
      <c r="AB2" s="13" t="str">
        <f t="shared" si="0"/>
        <v>土</v>
      </c>
      <c r="AC2" s="17" t="str">
        <f t="shared" si="0"/>
        <v>日</v>
      </c>
      <c r="AD2" s="12" t="str">
        <f t="shared" si="0"/>
        <v>月</v>
      </c>
      <c r="AE2" s="12" t="str">
        <f t="shared" si="0"/>
        <v>火</v>
      </c>
      <c r="AF2" s="12" t="str">
        <f t="shared" si="0"/>
        <v>水</v>
      </c>
      <c r="AG2" s="14" t="str">
        <f t="shared" si="0"/>
        <v>木</v>
      </c>
      <c r="AH2" s="31" t="str">
        <f t="shared" si="0"/>
        <v>金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1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/>
      </c>
      <c r="E4" s="7" t="str">
        <f t="shared" ref="E4:T5" si="1">IF(E$2="祝","／",IF(E$2="土","／",IF(E$2="日","／","")))</f>
        <v/>
      </c>
      <c r="F4" s="7" t="str">
        <f t="shared" si="1"/>
        <v/>
      </c>
      <c r="G4" s="7" t="str">
        <f t="shared" si="1"/>
        <v>／</v>
      </c>
      <c r="H4" s="22" t="str">
        <f t="shared" si="1"/>
        <v>／</v>
      </c>
      <c r="I4" s="18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28" t="str">
        <f t="shared" si="1"/>
        <v/>
      </c>
      <c r="N4" s="21" t="str">
        <f t="shared" si="1"/>
        <v>／</v>
      </c>
      <c r="O4" s="7" t="str">
        <f t="shared" si="1"/>
        <v>／</v>
      </c>
      <c r="P4" s="7" t="str">
        <f t="shared" si="1"/>
        <v/>
      </c>
      <c r="Q4" s="7" t="str">
        <f t="shared" si="1"/>
        <v/>
      </c>
      <c r="R4" s="22" t="str">
        <f t="shared" si="1"/>
        <v/>
      </c>
      <c r="S4" s="18" t="str">
        <f t="shared" si="1"/>
        <v/>
      </c>
      <c r="T4" s="7" t="str">
        <f t="shared" si="1"/>
        <v/>
      </c>
      <c r="U4" s="7" t="str">
        <f t="shared" ref="U4:AH5" si="2">IF(U$2="祝","／",IF(U$2="土","／",IF(U$2="日","／","")))</f>
        <v>／</v>
      </c>
      <c r="V4" s="7" t="str">
        <f t="shared" si="2"/>
        <v>／</v>
      </c>
      <c r="W4" s="28" t="str">
        <f t="shared" si="2"/>
        <v/>
      </c>
      <c r="X4" s="21" t="str">
        <f t="shared" si="2"/>
        <v/>
      </c>
      <c r="Y4" s="7" t="str">
        <f t="shared" si="2"/>
        <v/>
      </c>
      <c r="Z4" s="7" t="str">
        <f t="shared" si="2"/>
        <v/>
      </c>
      <c r="AA4" s="7" t="str">
        <f t="shared" si="2"/>
        <v/>
      </c>
      <c r="AB4" s="22" t="str">
        <f t="shared" si="2"/>
        <v>／</v>
      </c>
      <c r="AC4" s="18" t="str">
        <f t="shared" si="2"/>
        <v>／</v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/>
      </c>
      <c r="E5" s="3" t="str">
        <f t="shared" si="1"/>
        <v/>
      </c>
      <c r="F5" s="3" t="str">
        <f t="shared" si="1"/>
        <v/>
      </c>
      <c r="G5" s="3" t="str">
        <f t="shared" si="1"/>
        <v>／</v>
      </c>
      <c r="H5" s="24" t="str">
        <f t="shared" si="1"/>
        <v>／</v>
      </c>
      <c r="I5" s="19" t="str">
        <f t="shared" si="1"/>
        <v/>
      </c>
      <c r="J5" s="3" t="str">
        <f t="shared" si="1"/>
        <v/>
      </c>
      <c r="K5" s="3" t="str">
        <f t="shared" si="1"/>
        <v/>
      </c>
      <c r="L5" s="3" t="str">
        <f t="shared" si="1"/>
        <v/>
      </c>
      <c r="M5" s="15" t="str">
        <f t="shared" si="1"/>
        <v/>
      </c>
      <c r="N5" s="23" t="str">
        <f t="shared" si="1"/>
        <v>／</v>
      </c>
      <c r="O5" s="3" t="str">
        <f t="shared" si="1"/>
        <v>／</v>
      </c>
      <c r="P5" s="3" t="str">
        <f t="shared" si="1"/>
        <v/>
      </c>
      <c r="Q5" s="3" t="str">
        <f t="shared" si="1"/>
        <v/>
      </c>
      <c r="R5" s="24" t="str">
        <f t="shared" si="1"/>
        <v/>
      </c>
      <c r="S5" s="19" t="str">
        <f t="shared" si="1"/>
        <v/>
      </c>
      <c r="T5" s="3" t="str">
        <f t="shared" si="1"/>
        <v/>
      </c>
      <c r="U5" s="3" t="str">
        <f t="shared" si="2"/>
        <v>／</v>
      </c>
      <c r="V5" s="3" t="str">
        <f t="shared" si="2"/>
        <v>／</v>
      </c>
      <c r="W5" s="15" t="str">
        <f t="shared" si="2"/>
        <v/>
      </c>
      <c r="X5" s="2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24" t="str">
        <f t="shared" si="2"/>
        <v>／</v>
      </c>
      <c r="AC5" s="19" t="str">
        <f t="shared" si="2"/>
        <v>／</v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d41c71AZEY2Rd1Ev1U1gbvJsRQd5M6LM7ouU004lSgEo6NDOnpBZj/o5rdBcBEP/6oOvRejOM3Uzdgu/R9jAkg==" saltValue="QPhq36JDLMwQhyfEUHDoeA==" spinCount="100000" sheet="1" objects="1" scenarios="1"/>
  <phoneticPr fontId="1"/>
  <conditionalFormatting sqref="D1:AH1048576">
    <cfRule type="expression" dxfId="2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H208"/>
  <sheetViews>
    <sheetView workbookViewId="0">
      <selection activeCell="AG1" sqref="AG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IF(config!J13&lt;&gt;"",DATE($A$2,$A$4,config!J13),"")</f>
        <v>45689</v>
      </c>
      <c r="E1" s="9">
        <f>IF(config!K13&lt;&gt;"",DATE($A$2,$A$4,config!K13),"")</f>
        <v>45690</v>
      </c>
      <c r="F1" s="9">
        <f>IF(config!L13&lt;&gt;"",DATE($A$2,$A$4,config!L13),"")</f>
        <v>45691</v>
      </c>
      <c r="G1" s="9">
        <f>IF(config!M13&lt;&gt;"",DATE($A$2,$A$4,config!M13),"")</f>
        <v>45692</v>
      </c>
      <c r="H1" s="10">
        <f>IF(config!N13&lt;&gt;"",DATE($A$2,$A$4,config!N13),"")</f>
        <v>45693</v>
      </c>
      <c r="I1" s="16">
        <f>IF(config!O13&lt;&gt;"",DATE($A$2,$A$4,config!O13),"")</f>
        <v>45694</v>
      </c>
      <c r="J1" s="9">
        <f>IF(config!P13&lt;&gt;"",DATE($A$2,$A$4,config!P13),"")</f>
        <v>45695</v>
      </c>
      <c r="K1" s="9">
        <f>IF(config!Q13&lt;&gt;"",DATE($A$2,$A$4,config!Q13),"")</f>
        <v>45696</v>
      </c>
      <c r="L1" s="9">
        <f>IF(config!R13&lt;&gt;"",DATE($A$2,$A$4,config!R13),"")</f>
        <v>45697</v>
      </c>
      <c r="M1" s="27">
        <f>IF(config!S13&lt;&gt;"",DATE($A$2,$A$4,config!S13),"")</f>
        <v>45698</v>
      </c>
      <c r="N1" s="20">
        <f>IF(config!T13&lt;&gt;"",DATE($A$2,$A$4,config!T13),"")</f>
        <v>45699</v>
      </c>
      <c r="O1" s="9">
        <f>IF(config!U13&lt;&gt;"",DATE($A$2,$A$4,config!U13),"")</f>
        <v>45700</v>
      </c>
      <c r="P1" s="9">
        <f>IF(config!V13&lt;&gt;"",DATE($A$2,$A$4,config!V13),"")</f>
        <v>45701</v>
      </c>
      <c r="Q1" s="9">
        <f>IF(config!W13&lt;&gt;"",DATE($A$2,$A$4,config!W13),"")</f>
        <v>45702</v>
      </c>
      <c r="R1" s="10">
        <f>IF(config!X13&lt;&gt;"",DATE($A$2,$A$4,config!X13),"")</f>
        <v>45703</v>
      </c>
      <c r="S1" s="16">
        <f>IF(config!Y13&lt;&gt;"",DATE($A$2,$A$4,config!Y13),"")</f>
        <v>45704</v>
      </c>
      <c r="T1" s="9">
        <f>IF(config!Z13&lt;&gt;"",DATE($A$2,$A$4,config!Z13),"")</f>
        <v>45705</v>
      </c>
      <c r="U1" s="9">
        <f>IF(config!AA13&lt;&gt;"",DATE($A$2,$A$4,config!AA13),"")</f>
        <v>45706</v>
      </c>
      <c r="V1" s="9">
        <f>IF(config!AB13&lt;&gt;"",DATE($A$2,$A$4,config!AB13),"")</f>
        <v>45707</v>
      </c>
      <c r="W1" s="27">
        <f>IF(config!AC13&lt;&gt;"",DATE($A$2,$A$4,config!AC13),"")</f>
        <v>45708</v>
      </c>
      <c r="X1" s="20">
        <f>IF(config!AD13&lt;&gt;"",DATE($A$2,$A$4,config!AD13),"")</f>
        <v>45709</v>
      </c>
      <c r="Y1" s="9">
        <f>IF(config!AE13&lt;&gt;"",DATE($A$2,$A$4,config!AE13),"")</f>
        <v>45710</v>
      </c>
      <c r="Z1" s="9">
        <f>IF(config!AF13&lt;&gt;"",DATE($A$2,$A$4,config!AF13),"")</f>
        <v>45711</v>
      </c>
      <c r="AA1" s="9">
        <f>IF(config!AG13&lt;&gt;"",DATE($A$2,$A$4,config!AG13),"")</f>
        <v>45712</v>
      </c>
      <c r="AB1" s="10">
        <f>IF(config!AH13&lt;&gt;"",DATE($A$2,$A$4,config!AH13),"")</f>
        <v>45713</v>
      </c>
      <c r="AC1" s="16">
        <f>IF(config!AI13&lt;&gt;"",DATE($A$2,$A$4,config!AI13),"")</f>
        <v>45714</v>
      </c>
      <c r="AD1" s="9">
        <f>IF(config!AJ13&lt;&gt;"",DATE($A$2,$A$4,config!AJ13),"")</f>
        <v>45715</v>
      </c>
      <c r="AE1" s="9">
        <f>IF(config!AK13&lt;&gt;"",DATE($A$2,$A$4,config!AK13),"")</f>
        <v>45716</v>
      </c>
      <c r="AF1" s="9" t="str">
        <f>IF(config!AL13&lt;&gt;"",DATE($A$2,$A$4,config!AL13),"")</f>
        <v/>
      </c>
      <c r="AG1" s="27" t="str">
        <f>IF(config!AM13&lt;&gt;"",DATE($A$2,$A$4,config!AM13),"")</f>
        <v/>
      </c>
      <c r="AH1" s="30" t="str">
        <f>IF(config!AN13&lt;&gt;"",DATE($A$2,$A$4,config!AN13),"")</f>
        <v/>
      </c>
    </row>
    <row r="2" spans="1:34" ht="19.5" thickBot="1" x14ac:dyDescent="0.45">
      <c r="A2" s="2">
        <f>IF(A4&lt;=3,config!$D$2+1,config!$D$2)</f>
        <v>2025</v>
      </c>
      <c r="B2" s="11" t="s">
        <v>13</v>
      </c>
      <c r="C2" s="13" t="s">
        <v>12</v>
      </c>
      <c r="D2" s="11" t="str">
        <f>IF(COUNTIF(D3,1),"祝",TEXT(D1,"aaa"))</f>
        <v>土</v>
      </c>
      <c r="E2" s="12" t="str">
        <f t="shared" ref="E2:AH2" si="0">IF(COUNTIF(E3,1),"祝",TEXT(E1,"aaa"))</f>
        <v>日</v>
      </c>
      <c r="F2" s="12" t="str">
        <f t="shared" si="0"/>
        <v>月</v>
      </c>
      <c r="G2" s="12" t="str">
        <f t="shared" si="0"/>
        <v>火</v>
      </c>
      <c r="H2" s="13" t="str">
        <f t="shared" si="0"/>
        <v>水</v>
      </c>
      <c r="I2" s="17" t="str">
        <f t="shared" si="0"/>
        <v>木</v>
      </c>
      <c r="J2" s="12" t="str">
        <f t="shared" si="0"/>
        <v>金</v>
      </c>
      <c r="K2" s="12" t="str">
        <f t="shared" si="0"/>
        <v>土</v>
      </c>
      <c r="L2" s="12" t="str">
        <f t="shared" si="0"/>
        <v>日</v>
      </c>
      <c r="M2" s="14" t="str">
        <f t="shared" si="0"/>
        <v>月</v>
      </c>
      <c r="N2" s="11" t="str">
        <f t="shared" si="0"/>
        <v>火</v>
      </c>
      <c r="O2" s="12" t="str">
        <f t="shared" si="0"/>
        <v>水</v>
      </c>
      <c r="P2" s="12" t="str">
        <f t="shared" si="0"/>
        <v>木</v>
      </c>
      <c r="Q2" s="12" t="str">
        <f t="shared" si="0"/>
        <v>金</v>
      </c>
      <c r="R2" s="13" t="str">
        <f t="shared" si="0"/>
        <v>土</v>
      </c>
      <c r="S2" s="17" t="str">
        <f t="shared" si="0"/>
        <v>日</v>
      </c>
      <c r="T2" s="12" t="str">
        <f t="shared" si="0"/>
        <v>月</v>
      </c>
      <c r="U2" s="12" t="str">
        <f t="shared" si="0"/>
        <v>火</v>
      </c>
      <c r="V2" s="12" t="str">
        <f t="shared" si="0"/>
        <v>水</v>
      </c>
      <c r="W2" s="14" t="str">
        <f t="shared" si="0"/>
        <v>木</v>
      </c>
      <c r="X2" s="11" t="str">
        <f t="shared" si="0"/>
        <v>金</v>
      </c>
      <c r="Y2" s="12" t="str">
        <f t="shared" si="0"/>
        <v>土</v>
      </c>
      <c r="Z2" s="12" t="str">
        <f t="shared" si="0"/>
        <v>日</v>
      </c>
      <c r="AA2" s="12" t="str">
        <f t="shared" si="0"/>
        <v>月</v>
      </c>
      <c r="AB2" s="13" t="str">
        <f t="shared" si="0"/>
        <v>火</v>
      </c>
      <c r="AC2" s="17" t="str">
        <f t="shared" si="0"/>
        <v>水</v>
      </c>
      <c r="AD2" s="12" t="str">
        <f t="shared" si="0"/>
        <v>木</v>
      </c>
      <c r="AE2" s="12" t="str">
        <f t="shared" si="0"/>
        <v>金</v>
      </c>
      <c r="AF2" s="12" t="str">
        <f t="shared" si="0"/>
        <v/>
      </c>
      <c r="AG2" s="14" t="str">
        <f t="shared" si="0"/>
        <v/>
      </c>
      <c r="AH2" s="31" t="str">
        <f t="shared" si="0"/>
        <v/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2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>／</v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>／</v>
      </c>
      <c r="L4" s="7" t="str">
        <f t="shared" si="1"/>
        <v>／</v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>／</v>
      </c>
      <c r="S4" s="18" t="str">
        <f t="shared" si="1"/>
        <v>／</v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>／</v>
      </c>
      <c r="Z4" s="7" t="str">
        <f t="shared" si="2"/>
        <v>／</v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/>
      </c>
      <c r="AG4" s="28" t="str">
        <f t="shared" si="2"/>
        <v/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>／</v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>／</v>
      </c>
      <c r="L5" s="3" t="str">
        <f t="shared" si="1"/>
        <v>／</v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>／</v>
      </c>
      <c r="S5" s="19" t="str">
        <f t="shared" si="1"/>
        <v>／</v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>／</v>
      </c>
      <c r="Z5" s="3" t="str">
        <f t="shared" si="2"/>
        <v>／</v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15" t="str">
        <f t="shared" si="2"/>
        <v/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mwKhs0Gytk78br63/HxUpkz4bbYpvMyLKfq7dMoNChtClA7MXJJ6p/VmZSYWugKy09zXYzUBn1Mdak0e6hyl+w==" saltValue="Zz+yWkQTfVcYrrDXOycsvA==" spinCount="100000" sheet="1" objects="1" scenarios="1"/>
  <phoneticPr fontId="1"/>
  <conditionalFormatting sqref="D1:AH1048576">
    <cfRule type="expression" dxfId="1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AH208"/>
  <sheetViews>
    <sheetView workbookViewId="0">
      <selection activeCell="E1" sqref="E1"/>
    </sheetView>
  </sheetViews>
  <sheetFormatPr defaultRowHeight="18.75" x14ac:dyDescent="0.4"/>
  <cols>
    <col min="1" max="1" width="5.5" bestFit="1" customWidth="1"/>
    <col min="2" max="2" width="13" style="25" bestFit="1" customWidth="1"/>
    <col min="3" max="3" width="13.125" style="26" bestFit="1" customWidth="1"/>
    <col min="4" max="4" width="3.375" style="25" customWidth="1"/>
    <col min="5" max="7" width="3.375" customWidth="1"/>
    <col min="8" max="8" width="3.375" style="26" customWidth="1"/>
    <col min="9" max="13" width="3.375" customWidth="1"/>
    <col min="14" max="14" width="3.375" style="29" customWidth="1"/>
    <col min="15" max="17" width="3.375" customWidth="1"/>
    <col min="18" max="18" width="3.375" style="26" customWidth="1"/>
    <col min="19" max="23" width="3.375" customWidth="1"/>
    <col min="24" max="24" width="3.375" style="29" customWidth="1"/>
    <col min="25" max="27" width="3.375" customWidth="1"/>
    <col min="28" max="28" width="3.375" style="26" customWidth="1"/>
    <col min="29" max="33" width="3.375" customWidth="1"/>
    <col min="34" max="34" width="3.375" style="34" customWidth="1"/>
  </cols>
  <sheetData>
    <row r="1" spans="1:34" x14ac:dyDescent="0.4">
      <c r="A1" s="2" t="s">
        <v>0</v>
      </c>
      <c r="B1" s="8"/>
      <c r="C1" s="35" t="s">
        <v>14</v>
      </c>
      <c r="D1" s="20">
        <f>IF(config!J14&lt;&gt;"",DATE($A$2,$A$4,config!J14),"")</f>
        <v>45717</v>
      </c>
      <c r="E1" s="9">
        <f>IF(config!K14&lt;&gt;"",DATE($A$2,$A$4,config!K14),"")</f>
        <v>45718</v>
      </c>
      <c r="F1" s="9">
        <f>IF(config!L14&lt;&gt;"",DATE($A$2,$A$4,config!L14),"")</f>
        <v>45719</v>
      </c>
      <c r="G1" s="9">
        <f>IF(config!M14&lt;&gt;"",DATE($A$2,$A$4,config!M14),"")</f>
        <v>45720</v>
      </c>
      <c r="H1" s="10">
        <f>IF(config!N14&lt;&gt;"",DATE($A$2,$A$4,config!N14),"")</f>
        <v>45721</v>
      </c>
      <c r="I1" s="16">
        <f>IF(config!O14&lt;&gt;"",DATE($A$2,$A$4,config!O14),"")</f>
        <v>45722</v>
      </c>
      <c r="J1" s="9">
        <f>IF(config!P14&lt;&gt;"",DATE($A$2,$A$4,config!P14),"")</f>
        <v>45723</v>
      </c>
      <c r="K1" s="9">
        <f>IF(config!Q14&lt;&gt;"",DATE($A$2,$A$4,config!Q14),"")</f>
        <v>45724</v>
      </c>
      <c r="L1" s="9">
        <f>IF(config!R14&lt;&gt;"",DATE($A$2,$A$4,config!R14),"")</f>
        <v>45725</v>
      </c>
      <c r="M1" s="27">
        <f>IF(config!S14&lt;&gt;"",DATE($A$2,$A$4,config!S14),"")</f>
        <v>45726</v>
      </c>
      <c r="N1" s="20">
        <f>IF(config!T14&lt;&gt;"",DATE($A$2,$A$4,config!T14),"")</f>
        <v>45727</v>
      </c>
      <c r="O1" s="9">
        <f>IF(config!U14&lt;&gt;"",DATE($A$2,$A$4,config!U14),"")</f>
        <v>45728</v>
      </c>
      <c r="P1" s="9">
        <f>IF(config!V14&lt;&gt;"",DATE($A$2,$A$4,config!V14),"")</f>
        <v>45729</v>
      </c>
      <c r="Q1" s="9">
        <f>IF(config!W14&lt;&gt;"",DATE($A$2,$A$4,config!W14),"")</f>
        <v>45730</v>
      </c>
      <c r="R1" s="10">
        <f>IF(config!X14&lt;&gt;"",DATE($A$2,$A$4,config!X14),"")</f>
        <v>45731</v>
      </c>
      <c r="S1" s="16">
        <f>IF(config!Y14&lt;&gt;"",DATE($A$2,$A$4,config!Y14),"")</f>
        <v>45732</v>
      </c>
      <c r="T1" s="9">
        <f>IF(config!Z14&lt;&gt;"",DATE($A$2,$A$4,config!Z14),"")</f>
        <v>45733</v>
      </c>
      <c r="U1" s="9">
        <f>IF(config!AA14&lt;&gt;"",DATE($A$2,$A$4,config!AA14),"")</f>
        <v>45734</v>
      </c>
      <c r="V1" s="9">
        <f>IF(config!AB14&lt;&gt;"",DATE($A$2,$A$4,config!AB14),"")</f>
        <v>45735</v>
      </c>
      <c r="W1" s="27">
        <f>IF(config!AC14&lt;&gt;"",DATE($A$2,$A$4,config!AC14),"")</f>
        <v>45736</v>
      </c>
      <c r="X1" s="20">
        <f>IF(config!AD14&lt;&gt;"",DATE($A$2,$A$4,config!AD14),"")</f>
        <v>45737</v>
      </c>
      <c r="Y1" s="9">
        <f>IF(config!AE14&lt;&gt;"",DATE($A$2,$A$4,config!AE14),"")</f>
        <v>45738</v>
      </c>
      <c r="Z1" s="9">
        <f>IF(config!AF14&lt;&gt;"",DATE($A$2,$A$4,config!AF14),"")</f>
        <v>45739</v>
      </c>
      <c r="AA1" s="9">
        <f>IF(config!AG14&lt;&gt;"",DATE($A$2,$A$4,config!AG14),"")</f>
        <v>45740</v>
      </c>
      <c r="AB1" s="10">
        <f>IF(config!AH14&lt;&gt;"",DATE($A$2,$A$4,config!AH14),"")</f>
        <v>45741</v>
      </c>
      <c r="AC1" s="16">
        <f>IF(config!AI14&lt;&gt;"",DATE($A$2,$A$4,config!AI14),"")</f>
        <v>45742</v>
      </c>
      <c r="AD1" s="9">
        <f>IF(config!AJ14&lt;&gt;"",DATE($A$2,$A$4,config!AJ14),"")</f>
        <v>45743</v>
      </c>
      <c r="AE1" s="9">
        <f>IF(config!AK14&lt;&gt;"",DATE($A$2,$A$4,config!AK14),"")</f>
        <v>45744</v>
      </c>
      <c r="AF1" s="9">
        <f>IF(config!AL14&lt;&gt;"",DATE($A$2,$A$4,config!AL14),"")</f>
        <v>45745</v>
      </c>
      <c r="AG1" s="27">
        <f>IF(config!AM14&lt;&gt;"",DATE($A$2,$A$4,config!AM14),"")</f>
        <v>45746</v>
      </c>
      <c r="AH1" s="30">
        <f>IF(config!AN14&lt;&gt;"",DATE($A$2,$A$4,config!AN14),"")</f>
        <v>45747</v>
      </c>
    </row>
    <row r="2" spans="1:34" ht="19.5" thickBot="1" x14ac:dyDescent="0.45">
      <c r="A2" s="2">
        <f>IF(A4&lt;=3,config!$D$2+1,config!$D$2)</f>
        <v>2025</v>
      </c>
      <c r="B2" s="11" t="s">
        <v>13</v>
      </c>
      <c r="C2" s="13" t="s">
        <v>12</v>
      </c>
      <c r="D2" s="11" t="str">
        <f>IF(COUNTIF(D3,1),"祝",TEXT(D1,"aaa"))</f>
        <v>土</v>
      </c>
      <c r="E2" s="12" t="str">
        <f t="shared" ref="E2:AH2" si="0">IF(COUNTIF(E3,1),"祝",TEXT(E1,"aaa"))</f>
        <v>日</v>
      </c>
      <c r="F2" s="12" t="str">
        <f t="shared" si="0"/>
        <v>月</v>
      </c>
      <c r="G2" s="12" t="str">
        <f t="shared" si="0"/>
        <v>火</v>
      </c>
      <c r="H2" s="13" t="str">
        <f t="shared" si="0"/>
        <v>水</v>
      </c>
      <c r="I2" s="17" t="str">
        <f t="shared" si="0"/>
        <v>木</v>
      </c>
      <c r="J2" s="12" t="str">
        <f t="shared" si="0"/>
        <v>金</v>
      </c>
      <c r="K2" s="12" t="str">
        <f t="shared" si="0"/>
        <v>土</v>
      </c>
      <c r="L2" s="12" t="str">
        <f t="shared" si="0"/>
        <v>日</v>
      </c>
      <c r="M2" s="14" t="str">
        <f t="shared" si="0"/>
        <v>月</v>
      </c>
      <c r="N2" s="11" t="str">
        <f t="shared" si="0"/>
        <v>火</v>
      </c>
      <c r="O2" s="12" t="str">
        <f t="shared" si="0"/>
        <v>水</v>
      </c>
      <c r="P2" s="12" t="str">
        <f t="shared" si="0"/>
        <v>木</v>
      </c>
      <c r="Q2" s="12" t="str">
        <f t="shared" si="0"/>
        <v>金</v>
      </c>
      <c r="R2" s="13" t="str">
        <f t="shared" si="0"/>
        <v>土</v>
      </c>
      <c r="S2" s="17" t="str">
        <f t="shared" si="0"/>
        <v>日</v>
      </c>
      <c r="T2" s="12" t="str">
        <f t="shared" si="0"/>
        <v>月</v>
      </c>
      <c r="U2" s="12" t="str">
        <f t="shared" si="0"/>
        <v>火</v>
      </c>
      <c r="V2" s="12" t="str">
        <f t="shared" si="0"/>
        <v>水</v>
      </c>
      <c r="W2" s="14" t="str">
        <f t="shared" si="0"/>
        <v>木</v>
      </c>
      <c r="X2" s="11" t="str">
        <f t="shared" si="0"/>
        <v>金</v>
      </c>
      <c r="Y2" s="12" t="str">
        <f t="shared" si="0"/>
        <v>土</v>
      </c>
      <c r="Z2" s="12" t="str">
        <f t="shared" si="0"/>
        <v>日</v>
      </c>
      <c r="AA2" s="12" t="str">
        <f t="shared" si="0"/>
        <v>月</v>
      </c>
      <c r="AB2" s="13" t="str">
        <f t="shared" si="0"/>
        <v>火</v>
      </c>
      <c r="AC2" s="17" t="str">
        <f t="shared" si="0"/>
        <v>水</v>
      </c>
      <c r="AD2" s="12" t="str">
        <f t="shared" si="0"/>
        <v>木</v>
      </c>
      <c r="AE2" s="12" t="str">
        <f t="shared" si="0"/>
        <v>金</v>
      </c>
      <c r="AF2" s="12" t="str">
        <f t="shared" si="0"/>
        <v>土</v>
      </c>
      <c r="AG2" s="14" t="str">
        <f t="shared" si="0"/>
        <v>日</v>
      </c>
      <c r="AH2" s="31" t="str">
        <f t="shared" si="0"/>
        <v>月</v>
      </c>
    </row>
    <row r="3" spans="1:34" ht="19.5" thickBot="1" x14ac:dyDescent="0.45">
      <c r="A3" s="2"/>
      <c r="B3" s="36" t="s">
        <v>15</v>
      </c>
      <c r="C3" s="37" t="s">
        <v>16</v>
      </c>
      <c r="D3" s="36"/>
      <c r="E3" s="38"/>
      <c r="F3" s="38"/>
      <c r="G3" s="38"/>
      <c r="H3" s="39"/>
      <c r="I3" s="40"/>
      <c r="J3" s="38"/>
      <c r="K3" s="38"/>
      <c r="L3" s="38"/>
      <c r="M3" s="41"/>
      <c r="N3" s="36"/>
      <c r="O3" s="38"/>
      <c r="P3" s="38"/>
      <c r="Q3" s="38"/>
      <c r="R3" s="39"/>
      <c r="S3" s="40"/>
      <c r="T3" s="38"/>
      <c r="U3" s="38"/>
      <c r="V3" s="38"/>
      <c r="W3" s="41"/>
      <c r="X3" s="36"/>
      <c r="Y3" s="38"/>
      <c r="Z3" s="38"/>
      <c r="AA3" s="38"/>
      <c r="AB3" s="39"/>
      <c r="AC3" s="40"/>
      <c r="AD3" s="38"/>
      <c r="AE3" s="38"/>
      <c r="AF3" s="38"/>
      <c r="AG3" s="41"/>
      <c r="AH3" s="42"/>
    </row>
    <row r="4" spans="1:34" x14ac:dyDescent="0.4">
      <c r="A4" s="2">
        <v>3</v>
      </c>
      <c r="B4" s="21" t="str">
        <f>ID!B4</f>
        <v>校長</v>
      </c>
      <c r="C4" s="22" t="str">
        <f>ID!C4</f>
        <v>島村 まなみ</v>
      </c>
      <c r="D4" s="21" t="str">
        <f>IF(D$2="祝","／",IF(D$2="土","／",IF(D$2="日","／","")))</f>
        <v>／</v>
      </c>
      <c r="E4" s="7" t="str">
        <f t="shared" ref="E4:T5" si="1">IF(E$2="祝","／",IF(E$2="土","／",IF(E$2="日","／","")))</f>
        <v>／</v>
      </c>
      <c r="F4" s="7" t="str">
        <f t="shared" si="1"/>
        <v/>
      </c>
      <c r="G4" s="7" t="str">
        <f t="shared" si="1"/>
        <v/>
      </c>
      <c r="H4" s="22" t="str">
        <f t="shared" si="1"/>
        <v/>
      </c>
      <c r="I4" s="18" t="str">
        <f t="shared" si="1"/>
        <v/>
      </c>
      <c r="J4" s="7" t="str">
        <f t="shared" si="1"/>
        <v/>
      </c>
      <c r="K4" s="7" t="str">
        <f t="shared" si="1"/>
        <v>／</v>
      </c>
      <c r="L4" s="7" t="str">
        <f t="shared" si="1"/>
        <v>／</v>
      </c>
      <c r="M4" s="28" t="str">
        <f t="shared" si="1"/>
        <v/>
      </c>
      <c r="N4" s="21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22" t="str">
        <f t="shared" si="1"/>
        <v>／</v>
      </c>
      <c r="S4" s="18" t="str">
        <f t="shared" si="1"/>
        <v>／</v>
      </c>
      <c r="T4" s="7" t="str">
        <f t="shared" si="1"/>
        <v/>
      </c>
      <c r="U4" s="7" t="str">
        <f t="shared" ref="U4:AH5" si="2">IF(U$2="祝","／",IF(U$2="土","／",IF(U$2="日","／","")))</f>
        <v/>
      </c>
      <c r="V4" s="7" t="str">
        <f t="shared" si="2"/>
        <v/>
      </c>
      <c r="W4" s="28" t="str">
        <f t="shared" si="2"/>
        <v/>
      </c>
      <c r="X4" s="21" t="str">
        <f t="shared" si="2"/>
        <v/>
      </c>
      <c r="Y4" s="7" t="str">
        <f t="shared" si="2"/>
        <v>／</v>
      </c>
      <c r="Z4" s="7" t="str">
        <f t="shared" si="2"/>
        <v>／</v>
      </c>
      <c r="AA4" s="7" t="str">
        <f t="shared" si="2"/>
        <v/>
      </c>
      <c r="AB4" s="22" t="str">
        <f t="shared" si="2"/>
        <v/>
      </c>
      <c r="AC4" s="18" t="str">
        <f t="shared" si="2"/>
        <v/>
      </c>
      <c r="AD4" s="7" t="str">
        <f t="shared" si="2"/>
        <v/>
      </c>
      <c r="AE4" s="7" t="str">
        <f t="shared" si="2"/>
        <v/>
      </c>
      <c r="AF4" s="7" t="str">
        <f t="shared" si="2"/>
        <v>／</v>
      </c>
      <c r="AG4" s="28" t="str">
        <f t="shared" si="2"/>
        <v>／</v>
      </c>
      <c r="AH4" s="32" t="str">
        <f t="shared" si="2"/>
        <v/>
      </c>
    </row>
    <row r="5" spans="1:34" x14ac:dyDescent="0.4">
      <c r="A5" s="2" t="s">
        <v>1</v>
      </c>
      <c r="B5" s="23" t="str">
        <f>ID!B5</f>
        <v>教頭</v>
      </c>
      <c r="C5" s="24" t="str">
        <f>ID!C5</f>
        <v>原 ひかり</v>
      </c>
      <c r="D5" s="23" t="str">
        <f t="shared" ref="D5" si="3">IF(D$2="祝","／",IF(D$2="土","／",IF(D$2="日","／","")))</f>
        <v>／</v>
      </c>
      <c r="E5" s="3" t="str">
        <f t="shared" si="1"/>
        <v>／</v>
      </c>
      <c r="F5" s="3" t="str">
        <f t="shared" si="1"/>
        <v/>
      </c>
      <c r="G5" s="3" t="str">
        <f t="shared" si="1"/>
        <v/>
      </c>
      <c r="H5" s="24" t="str">
        <f t="shared" si="1"/>
        <v/>
      </c>
      <c r="I5" s="19" t="str">
        <f t="shared" si="1"/>
        <v/>
      </c>
      <c r="J5" s="3" t="str">
        <f t="shared" si="1"/>
        <v/>
      </c>
      <c r="K5" s="3" t="str">
        <f t="shared" si="1"/>
        <v>／</v>
      </c>
      <c r="L5" s="3" t="str">
        <f t="shared" si="1"/>
        <v>／</v>
      </c>
      <c r="M5" s="15" t="str">
        <f t="shared" si="1"/>
        <v/>
      </c>
      <c r="N5" s="23" t="str">
        <f t="shared" si="1"/>
        <v/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24" t="str">
        <f t="shared" si="1"/>
        <v>／</v>
      </c>
      <c r="S5" s="19" t="str">
        <f t="shared" si="1"/>
        <v>／</v>
      </c>
      <c r="T5" s="3" t="str">
        <f t="shared" si="1"/>
        <v/>
      </c>
      <c r="U5" s="3" t="str">
        <f t="shared" si="2"/>
        <v/>
      </c>
      <c r="V5" s="3" t="str">
        <f t="shared" si="2"/>
        <v/>
      </c>
      <c r="W5" s="15" t="str">
        <f t="shared" si="2"/>
        <v/>
      </c>
      <c r="X5" s="23" t="str">
        <f t="shared" si="2"/>
        <v/>
      </c>
      <c r="Y5" s="3" t="str">
        <f t="shared" si="2"/>
        <v>／</v>
      </c>
      <c r="Z5" s="3" t="str">
        <f t="shared" si="2"/>
        <v>／</v>
      </c>
      <c r="AA5" s="3" t="str">
        <f t="shared" si="2"/>
        <v/>
      </c>
      <c r="AB5" s="24" t="str">
        <f t="shared" si="2"/>
        <v/>
      </c>
      <c r="AC5" s="19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>／</v>
      </c>
      <c r="AG5" s="15" t="str">
        <f t="shared" si="2"/>
        <v>／</v>
      </c>
      <c r="AH5" s="33" t="str">
        <f t="shared" si="2"/>
        <v/>
      </c>
    </row>
    <row r="6" spans="1:34" x14ac:dyDescent="0.4">
      <c r="B6" s="23" t="str">
        <f>ID!B6</f>
        <v>教諭</v>
      </c>
      <c r="C6" s="24" t="str">
        <f>ID!C6</f>
        <v>藤井 勝男</v>
      </c>
      <c r="D6" s="23"/>
      <c r="E6" s="3"/>
      <c r="F6" s="3"/>
      <c r="G6" s="3"/>
      <c r="H6" s="24"/>
      <c r="I6" s="19"/>
      <c r="J6" s="3"/>
      <c r="K6" s="3"/>
      <c r="L6" s="3"/>
      <c r="M6" s="15"/>
      <c r="N6" s="23"/>
      <c r="O6" s="3"/>
      <c r="P6" s="3"/>
      <c r="Q6" s="3"/>
      <c r="R6" s="24"/>
      <c r="S6" s="19"/>
      <c r="T6" s="3"/>
      <c r="U6" s="3"/>
      <c r="V6" s="3"/>
      <c r="W6" s="15"/>
      <c r="X6" s="23"/>
      <c r="Y6" s="3"/>
      <c r="Z6" s="3"/>
      <c r="AA6" s="3"/>
      <c r="AB6" s="24"/>
      <c r="AC6" s="19"/>
      <c r="AD6" s="3"/>
      <c r="AE6" s="3"/>
      <c r="AF6" s="3"/>
      <c r="AG6" s="15"/>
      <c r="AH6" s="33"/>
    </row>
    <row r="7" spans="1:34" x14ac:dyDescent="0.4">
      <c r="B7" s="23" t="str">
        <f>ID!B7</f>
        <v>教諭</v>
      </c>
      <c r="C7" s="24" t="str">
        <f>ID!C7</f>
        <v>島田 正雄</v>
      </c>
      <c r="D7" s="23"/>
      <c r="E7" s="3"/>
      <c r="F7" s="3"/>
      <c r="G7" s="3"/>
      <c r="H7" s="24"/>
      <c r="I7" s="19"/>
      <c r="J7" s="3"/>
      <c r="K7" s="3"/>
      <c r="L7" s="3"/>
      <c r="M7" s="15"/>
      <c r="N7" s="23"/>
      <c r="O7" s="3"/>
      <c r="P7" s="3"/>
      <c r="Q7" s="3"/>
      <c r="R7" s="24"/>
      <c r="S7" s="19"/>
      <c r="T7" s="3"/>
      <c r="U7" s="3"/>
      <c r="V7" s="3"/>
      <c r="W7" s="15"/>
      <c r="X7" s="23"/>
      <c r="Y7" s="3"/>
      <c r="Z7" s="3"/>
      <c r="AA7" s="3"/>
      <c r="AB7" s="24"/>
      <c r="AC7" s="19"/>
      <c r="AD7" s="3"/>
      <c r="AE7" s="3"/>
      <c r="AF7" s="3"/>
      <c r="AG7" s="15"/>
      <c r="AH7" s="33"/>
    </row>
    <row r="8" spans="1:34" x14ac:dyDescent="0.4">
      <c r="B8" s="23" t="str">
        <f>ID!B8</f>
        <v>教諭</v>
      </c>
      <c r="C8" s="24" t="str">
        <f>ID!C8</f>
        <v>伏見 美優</v>
      </c>
      <c r="D8" s="23"/>
      <c r="E8" s="3"/>
      <c r="F8" s="3"/>
      <c r="G8" s="3"/>
      <c r="H8" s="24"/>
      <c r="I8" s="19"/>
      <c r="J8" s="3"/>
      <c r="K8" s="3"/>
      <c r="L8" s="3"/>
      <c r="M8" s="15"/>
      <c r="N8" s="23"/>
      <c r="O8" s="3"/>
      <c r="P8" s="3"/>
      <c r="Q8" s="3"/>
      <c r="R8" s="24"/>
      <c r="S8" s="19"/>
      <c r="T8" s="3"/>
      <c r="U8" s="3"/>
      <c r="V8" s="3"/>
      <c r="W8" s="15"/>
      <c r="X8" s="23"/>
      <c r="Y8" s="3"/>
      <c r="Z8" s="3"/>
      <c r="AA8" s="3"/>
      <c r="AB8" s="24"/>
      <c r="AC8" s="19"/>
      <c r="AD8" s="3"/>
      <c r="AE8" s="3"/>
      <c r="AF8" s="3"/>
      <c r="AG8" s="15"/>
      <c r="AH8" s="33"/>
    </row>
    <row r="9" spans="1:34" x14ac:dyDescent="0.4">
      <c r="B9" s="23" t="str">
        <f>ID!B9</f>
        <v>教諭</v>
      </c>
      <c r="C9" s="24" t="str">
        <f>ID!C9</f>
        <v>坂田 忠</v>
      </c>
      <c r="D9" s="23"/>
      <c r="E9" s="3"/>
      <c r="F9" s="3"/>
      <c r="G9" s="3"/>
      <c r="H9" s="24"/>
      <c r="I9" s="19"/>
      <c r="J9" s="3"/>
      <c r="K9" s="3"/>
      <c r="L9" s="3"/>
      <c r="M9" s="15"/>
      <c r="N9" s="23"/>
      <c r="O9" s="3"/>
      <c r="P9" s="3"/>
      <c r="Q9" s="3"/>
      <c r="R9" s="24"/>
      <c r="S9" s="19"/>
      <c r="T9" s="3"/>
      <c r="U9" s="3"/>
      <c r="V9" s="3"/>
      <c r="W9" s="15"/>
      <c r="X9" s="23"/>
      <c r="Y9" s="3"/>
      <c r="Z9" s="3"/>
      <c r="AA9" s="3"/>
      <c r="AB9" s="24"/>
      <c r="AC9" s="19"/>
      <c r="AD9" s="3"/>
      <c r="AE9" s="3"/>
      <c r="AF9" s="3"/>
      <c r="AG9" s="15"/>
      <c r="AH9" s="33"/>
    </row>
    <row r="10" spans="1:34" x14ac:dyDescent="0.4">
      <c r="B10" s="23" t="str">
        <f>ID!B10</f>
        <v>教諭</v>
      </c>
      <c r="C10" s="24" t="str">
        <f>ID!C10</f>
        <v>吉田 瑞希</v>
      </c>
      <c r="D10" s="23"/>
      <c r="E10" s="3"/>
      <c r="F10" s="3"/>
      <c r="G10" s="3"/>
      <c r="H10" s="24"/>
      <c r="I10" s="19"/>
      <c r="J10" s="3"/>
      <c r="K10" s="3"/>
      <c r="L10" s="3"/>
      <c r="M10" s="15"/>
      <c r="N10" s="23"/>
      <c r="O10" s="3"/>
      <c r="P10" s="3"/>
      <c r="Q10" s="3"/>
      <c r="R10" s="24"/>
      <c r="S10" s="19"/>
      <c r="T10" s="3"/>
      <c r="U10" s="3"/>
      <c r="V10" s="3"/>
      <c r="W10" s="15"/>
      <c r="X10" s="23"/>
      <c r="Y10" s="3"/>
      <c r="Z10" s="3"/>
      <c r="AA10" s="3"/>
      <c r="AB10" s="24"/>
      <c r="AC10" s="19"/>
      <c r="AD10" s="3"/>
      <c r="AE10" s="3"/>
      <c r="AF10" s="3"/>
      <c r="AG10" s="15"/>
      <c r="AH10" s="33"/>
    </row>
    <row r="11" spans="1:34" x14ac:dyDescent="0.4">
      <c r="B11" s="23" t="str">
        <f>ID!B11</f>
        <v>教諭</v>
      </c>
      <c r="C11" s="24" t="str">
        <f>ID!C11</f>
        <v>佐藤 昭大</v>
      </c>
      <c r="D11" s="23"/>
      <c r="E11" s="3"/>
      <c r="F11" s="3"/>
      <c r="G11" s="3"/>
      <c r="H11" s="24"/>
      <c r="I11" s="19"/>
      <c r="J11" s="3"/>
      <c r="K11" s="3"/>
      <c r="L11" s="3"/>
      <c r="M11" s="15"/>
      <c r="N11" s="23"/>
      <c r="O11" s="3"/>
      <c r="P11" s="3"/>
      <c r="Q11" s="3"/>
      <c r="R11" s="24"/>
      <c r="S11" s="19"/>
      <c r="T11" s="3"/>
      <c r="U11" s="3"/>
      <c r="V11" s="3"/>
      <c r="W11" s="15"/>
      <c r="X11" s="23"/>
      <c r="Y11" s="3"/>
      <c r="Z11" s="3"/>
      <c r="AA11" s="3"/>
      <c r="AB11" s="24"/>
      <c r="AC11" s="19"/>
      <c r="AD11" s="3"/>
      <c r="AE11" s="3"/>
      <c r="AF11" s="3"/>
      <c r="AG11" s="15"/>
      <c r="AH11" s="33"/>
    </row>
    <row r="12" spans="1:34" x14ac:dyDescent="0.4">
      <c r="B12" s="23" t="str">
        <f>ID!B12</f>
        <v>教諭</v>
      </c>
      <c r="C12" s="24" t="str">
        <f>ID!C12</f>
        <v>河村 貴亮</v>
      </c>
      <c r="D12" s="23"/>
      <c r="E12" s="3"/>
      <c r="F12" s="3"/>
      <c r="G12" s="3"/>
      <c r="H12" s="24"/>
      <c r="I12" s="19"/>
      <c r="J12" s="3"/>
      <c r="K12" s="3"/>
      <c r="L12" s="3"/>
      <c r="M12" s="15"/>
      <c r="N12" s="23"/>
      <c r="O12" s="3"/>
      <c r="P12" s="3"/>
      <c r="Q12" s="3"/>
      <c r="R12" s="24"/>
      <c r="S12" s="19"/>
      <c r="T12" s="3"/>
      <c r="U12" s="3"/>
      <c r="V12" s="3"/>
      <c r="W12" s="15"/>
      <c r="X12" s="23"/>
      <c r="Y12" s="3"/>
      <c r="Z12" s="3"/>
      <c r="AA12" s="3"/>
      <c r="AB12" s="24"/>
      <c r="AC12" s="19"/>
      <c r="AD12" s="3"/>
      <c r="AE12" s="3"/>
      <c r="AF12" s="3"/>
      <c r="AG12" s="15"/>
      <c r="AH12" s="33"/>
    </row>
    <row r="13" spans="1:34" x14ac:dyDescent="0.4">
      <c r="B13" s="23" t="str">
        <f>ID!B13</f>
        <v>教諭</v>
      </c>
      <c r="C13" s="24" t="str">
        <f>ID!C13</f>
        <v>浜名 康</v>
      </c>
      <c r="D13" s="23"/>
      <c r="E13" s="3"/>
      <c r="F13" s="3"/>
      <c r="G13" s="3"/>
      <c r="H13" s="24"/>
      <c r="I13" s="19"/>
      <c r="J13" s="3"/>
      <c r="K13" s="3"/>
      <c r="L13" s="3"/>
      <c r="M13" s="15"/>
      <c r="N13" s="23"/>
      <c r="O13" s="3"/>
      <c r="P13" s="3"/>
      <c r="Q13" s="3"/>
      <c r="R13" s="24"/>
      <c r="S13" s="19"/>
      <c r="T13" s="3"/>
      <c r="U13" s="3"/>
      <c r="V13" s="3"/>
      <c r="W13" s="15"/>
      <c r="X13" s="23"/>
      <c r="Y13" s="3"/>
      <c r="Z13" s="3"/>
      <c r="AA13" s="3"/>
      <c r="AB13" s="24"/>
      <c r="AC13" s="19"/>
      <c r="AD13" s="3"/>
      <c r="AE13" s="3"/>
      <c r="AF13" s="3"/>
      <c r="AG13" s="15"/>
      <c r="AH13" s="33"/>
    </row>
    <row r="14" spans="1:34" x14ac:dyDescent="0.4">
      <c r="B14" s="23" t="str">
        <f>ID!B14</f>
        <v>教諭</v>
      </c>
      <c r="C14" s="24" t="str">
        <f>ID!C14</f>
        <v>熊代 滋弥</v>
      </c>
      <c r="D14" s="23"/>
      <c r="E14" s="3"/>
      <c r="F14" s="3"/>
      <c r="G14" s="3"/>
      <c r="H14" s="24"/>
      <c r="I14" s="19"/>
      <c r="J14" s="3"/>
      <c r="K14" s="3"/>
      <c r="L14" s="3"/>
      <c r="M14" s="15"/>
      <c r="N14" s="23"/>
      <c r="O14" s="3"/>
      <c r="P14" s="3"/>
      <c r="Q14" s="3"/>
      <c r="R14" s="24"/>
      <c r="S14" s="19"/>
      <c r="T14" s="3"/>
      <c r="U14" s="3"/>
      <c r="V14" s="3"/>
      <c r="W14" s="15"/>
      <c r="X14" s="23"/>
      <c r="Y14" s="3"/>
      <c r="Z14" s="3"/>
      <c r="AA14" s="3"/>
      <c r="AB14" s="24"/>
      <c r="AC14" s="19"/>
      <c r="AD14" s="3"/>
      <c r="AE14" s="3"/>
      <c r="AF14" s="3"/>
      <c r="AG14" s="15"/>
      <c r="AH14" s="33"/>
    </row>
    <row r="15" spans="1:34" x14ac:dyDescent="0.4">
      <c r="B15" s="23" t="str">
        <f>ID!B15</f>
        <v>教諭</v>
      </c>
      <c r="C15" s="24" t="str">
        <f>ID!C15</f>
        <v>鈴木 玲衣</v>
      </c>
      <c r="D15" s="23"/>
      <c r="E15" s="3"/>
      <c r="F15" s="3"/>
      <c r="G15" s="3"/>
      <c r="H15" s="24"/>
      <c r="I15" s="19"/>
      <c r="J15" s="3"/>
      <c r="K15" s="3"/>
      <c r="L15" s="3"/>
      <c r="M15" s="15"/>
      <c r="N15" s="23"/>
      <c r="O15" s="3"/>
      <c r="P15" s="3"/>
      <c r="Q15" s="3"/>
      <c r="R15" s="24"/>
      <c r="S15" s="19"/>
      <c r="T15" s="3"/>
      <c r="U15" s="3"/>
      <c r="V15" s="3"/>
      <c r="W15" s="15"/>
      <c r="X15" s="23"/>
      <c r="Y15" s="3"/>
      <c r="Z15" s="3"/>
      <c r="AA15" s="3"/>
      <c r="AB15" s="24"/>
      <c r="AC15" s="19"/>
      <c r="AD15" s="3"/>
      <c r="AE15" s="3"/>
      <c r="AF15" s="3"/>
      <c r="AG15" s="15"/>
      <c r="AH15" s="33"/>
    </row>
    <row r="16" spans="1:34" x14ac:dyDescent="0.4">
      <c r="B16" s="23" t="str">
        <f>ID!B16</f>
        <v>教諭</v>
      </c>
      <c r="C16" s="24" t="str">
        <f>ID!C16</f>
        <v>姫野 あかね</v>
      </c>
      <c r="D16" s="23"/>
      <c r="E16" s="3"/>
      <c r="F16" s="3"/>
      <c r="G16" s="3"/>
      <c r="H16" s="24"/>
      <c r="I16" s="19"/>
      <c r="J16" s="3"/>
      <c r="K16" s="3"/>
      <c r="L16" s="3"/>
      <c r="M16" s="15"/>
      <c r="N16" s="23"/>
      <c r="O16" s="3"/>
      <c r="P16" s="3"/>
      <c r="Q16" s="3"/>
      <c r="R16" s="24"/>
      <c r="S16" s="19"/>
      <c r="T16" s="3"/>
      <c r="U16" s="3"/>
      <c r="V16" s="3"/>
      <c r="W16" s="15"/>
      <c r="X16" s="23"/>
      <c r="Y16" s="3"/>
      <c r="Z16" s="3"/>
      <c r="AA16" s="3"/>
      <c r="AB16" s="24"/>
      <c r="AC16" s="19"/>
      <c r="AD16" s="3"/>
      <c r="AE16" s="3"/>
      <c r="AF16" s="3"/>
      <c r="AG16" s="15"/>
      <c r="AH16" s="33"/>
    </row>
    <row r="17" spans="2:34" x14ac:dyDescent="0.4">
      <c r="B17" s="23" t="str">
        <f>ID!B17</f>
        <v>教諭</v>
      </c>
      <c r="C17" s="24" t="str">
        <f>ID!C17</f>
        <v>植田 儀康</v>
      </c>
      <c r="D17" s="23"/>
      <c r="E17" s="3"/>
      <c r="F17" s="3"/>
      <c r="G17" s="3"/>
      <c r="H17" s="24"/>
      <c r="I17" s="19"/>
      <c r="J17" s="3"/>
      <c r="K17" s="3"/>
      <c r="L17" s="3"/>
      <c r="M17" s="15"/>
      <c r="N17" s="23"/>
      <c r="O17" s="3"/>
      <c r="P17" s="3"/>
      <c r="Q17" s="3"/>
      <c r="R17" s="24"/>
      <c r="S17" s="19"/>
      <c r="T17" s="3"/>
      <c r="U17" s="3"/>
      <c r="V17" s="3"/>
      <c r="W17" s="15"/>
      <c r="X17" s="23"/>
      <c r="Y17" s="3"/>
      <c r="Z17" s="3"/>
      <c r="AA17" s="3"/>
      <c r="AB17" s="24"/>
      <c r="AC17" s="19"/>
      <c r="AD17" s="3"/>
      <c r="AE17" s="3"/>
      <c r="AF17" s="3"/>
      <c r="AG17" s="15"/>
      <c r="AH17" s="33"/>
    </row>
    <row r="18" spans="2:34" x14ac:dyDescent="0.4">
      <c r="B18" s="23" t="str">
        <f>ID!B18</f>
        <v>教諭</v>
      </c>
      <c r="C18" s="24" t="str">
        <f>ID!C18</f>
        <v>秋山 瞳</v>
      </c>
      <c r="D18" s="23"/>
      <c r="E18" s="3"/>
      <c r="F18" s="3"/>
      <c r="G18" s="3"/>
      <c r="H18" s="24"/>
      <c r="I18" s="19"/>
      <c r="J18" s="3"/>
      <c r="K18" s="3"/>
      <c r="L18" s="3"/>
      <c r="M18" s="15"/>
      <c r="N18" s="23"/>
      <c r="O18" s="3"/>
      <c r="P18" s="3"/>
      <c r="Q18" s="3"/>
      <c r="R18" s="24"/>
      <c r="S18" s="19"/>
      <c r="T18" s="3"/>
      <c r="U18" s="3"/>
      <c r="V18" s="3"/>
      <c r="W18" s="15"/>
      <c r="X18" s="23"/>
      <c r="Y18" s="3"/>
      <c r="Z18" s="3"/>
      <c r="AA18" s="3"/>
      <c r="AB18" s="24"/>
      <c r="AC18" s="19"/>
      <c r="AD18" s="3"/>
      <c r="AE18" s="3"/>
      <c r="AF18" s="3"/>
      <c r="AG18" s="15"/>
      <c r="AH18" s="33"/>
    </row>
    <row r="19" spans="2:34" x14ac:dyDescent="0.4">
      <c r="B19" s="23" t="str">
        <f>ID!B19</f>
        <v>教諭</v>
      </c>
      <c r="C19" s="24" t="str">
        <f>ID!C19</f>
        <v>土屋 恒樹</v>
      </c>
      <c r="D19" s="23"/>
      <c r="E19" s="3"/>
      <c r="F19" s="3"/>
      <c r="G19" s="3"/>
      <c r="H19" s="24"/>
      <c r="I19" s="19"/>
      <c r="J19" s="3"/>
      <c r="K19" s="3"/>
      <c r="L19" s="3"/>
      <c r="M19" s="15"/>
      <c r="N19" s="23"/>
      <c r="O19" s="3"/>
      <c r="P19" s="3"/>
      <c r="Q19" s="3"/>
      <c r="R19" s="24"/>
      <c r="S19" s="19"/>
      <c r="T19" s="3"/>
      <c r="U19" s="3"/>
      <c r="V19" s="3"/>
      <c r="W19" s="15"/>
      <c r="X19" s="23"/>
      <c r="Y19" s="3"/>
      <c r="Z19" s="3"/>
      <c r="AA19" s="3"/>
      <c r="AB19" s="24"/>
      <c r="AC19" s="19"/>
      <c r="AD19" s="3"/>
      <c r="AE19" s="3"/>
      <c r="AF19" s="3"/>
      <c r="AG19" s="15"/>
      <c r="AH19" s="33"/>
    </row>
    <row r="20" spans="2:34" x14ac:dyDescent="0.4">
      <c r="B20" s="23" t="str">
        <f>ID!B20</f>
        <v>教諭</v>
      </c>
      <c r="C20" s="24" t="str">
        <f>ID!C20</f>
        <v>進藤 いずみ</v>
      </c>
      <c r="D20" s="23"/>
      <c r="E20" s="3"/>
      <c r="F20" s="3"/>
      <c r="G20" s="3"/>
      <c r="H20" s="24"/>
      <c r="I20" s="19"/>
      <c r="J20" s="3"/>
      <c r="K20" s="3"/>
      <c r="L20" s="3"/>
      <c r="M20" s="15"/>
      <c r="N20" s="23"/>
      <c r="O20" s="3"/>
      <c r="P20" s="3"/>
      <c r="Q20" s="3"/>
      <c r="R20" s="24"/>
      <c r="S20" s="19"/>
      <c r="T20" s="3"/>
      <c r="U20" s="3"/>
      <c r="V20" s="3"/>
      <c r="W20" s="15"/>
      <c r="X20" s="23"/>
      <c r="Y20" s="3"/>
      <c r="Z20" s="3"/>
      <c r="AA20" s="3"/>
      <c r="AB20" s="24"/>
      <c r="AC20" s="19"/>
      <c r="AD20" s="3"/>
      <c r="AE20" s="3"/>
      <c r="AF20" s="3"/>
      <c r="AG20" s="15"/>
      <c r="AH20" s="33"/>
    </row>
    <row r="21" spans="2:34" x14ac:dyDescent="0.4">
      <c r="B21" s="23" t="str">
        <f>ID!B21</f>
        <v>教諭</v>
      </c>
      <c r="C21" s="24" t="str">
        <f>ID!C21</f>
        <v>吉村 重治</v>
      </c>
      <c r="D21" s="23"/>
      <c r="E21" s="3"/>
      <c r="F21" s="3"/>
      <c r="G21" s="3"/>
      <c r="H21" s="24"/>
      <c r="I21" s="19"/>
      <c r="J21" s="3"/>
      <c r="K21" s="3"/>
      <c r="L21" s="3"/>
      <c r="M21" s="15"/>
      <c r="N21" s="23"/>
      <c r="O21" s="3"/>
      <c r="P21" s="3"/>
      <c r="Q21" s="3"/>
      <c r="R21" s="24"/>
      <c r="S21" s="19"/>
      <c r="T21" s="3"/>
      <c r="U21" s="3"/>
      <c r="V21" s="3"/>
      <c r="W21" s="15"/>
      <c r="X21" s="23"/>
      <c r="Y21" s="3"/>
      <c r="Z21" s="3"/>
      <c r="AA21" s="3"/>
      <c r="AB21" s="24"/>
      <c r="AC21" s="19"/>
      <c r="AD21" s="3"/>
      <c r="AE21" s="3"/>
      <c r="AF21" s="3"/>
      <c r="AG21" s="15"/>
      <c r="AH21" s="33"/>
    </row>
    <row r="22" spans="2:34" x14ac:dyDescent="0.4">
      <c r="B22" s="23" t="str">
        <f>ID!B22</f>
        <v>教諭</v>
      </c>
      <c r="C22" s="24" t="str">
        <f>ID!C22</f>
        <v>小町 慶季</v>
      </c>
      <c r="D22" s="23"/>
      <c r="E22" s="3"/>
      <c r="F22" s="3"/>
      <c r="G22" s="3"/>
      <c r="H22" s="24"/>
      <c r="I22" s="19"/>
      <c r="J22" s="3"/>
      <c r="K22" s="3"/>
      <c r="L22" s="3"/>
      <c r="M22" s="15"/>
      <c r="N22" s="23"/>
      <c r="O22" s="3"/>
      <c r="P22" s="3"/>
      <c r="Q22" s="3"/>
      <c r="R22" s="24"/>
      <c r="S22" s="19"/>
      <c r="T22" s="3"/>
      <c r="U22" s="3"/>
      <c r="V22" s="3"/>
      <c r="W22" s="15"/>
      <c r="X22" s="23"/>
      <c r="Y22" s="3"/>
      <c r="Z22" s="3"/>
      <c r="AA22" s="3"/>
      <c r="AB22" s="24"/>
      <c r="AC22" s="19"/>
      <c r="AD22" s="3"/>
      <c r="AE22" s="3"/>
      <c r="AF22" s="3"/>
      <c r="AG22" s="15"/>
      <c r="AH22" s="33"/>
    </row>
    <row r="23" spans="2:34" x14ac:dyDescent="0.4">
      <c r="B23" s="23" t="str">
        <f>ID!B23</f>
        <v>教諭</v>
      </c>
      <c r="C23" s="24" t="str">
        <f>ID!C23</f>
        <v>甲斐 辰基</v>
      </c>
      <c r="D23" s="23"/>
      <c r="E23" s="3"/>
      <c r="F23" s="3"/>
      <c r="G23" s="3"/>
      <c r="H23" s="24"/>
      <c r="I23" s="19"/>
      <c r="J23" s="3"/>
      <c r="K23" s="3"/>
      <c r="L23" s="3"/>
      <c r="M23" s="15"/>
      <c r="N23" s="23"/>
      <c r="O23" s="3"/>
      <c r="P23" s="3"/>
      <c r="Q23" s="3"/>
      <c r="R23" s="24"/>
      <c r="S23" s="19"/>
      <c r="T23" s="3"/>
      <c r="U23" s="3"/>
      <c r="V23" s="3"/>
      <c r="W23" s="15"/>
      <c r="X23" s="23"/>
      <c r="Y23" s="3"/>
      <c r="Z23" s="3"/>
      <c r="AA23" s="3"/>
      <c r="AB23" s="24"/>
      <c r="AC23" s="19"/>
      <c r="AD23" s="3"/>
      <c r="AE23" s="3"/>
      <c r="AF23" s="3"/>
      <c r="AG23" s="15"/>
      <c r="AH23" s="33"/>
    </row>
    <row r="24" spans="2:34" x14ac:dyDescent="0.4">
      <c r="B24" s="23" t="str">
        <f>ID!B24</f>
        <v>教諭</v>
      </c>
      <c r="C24" s="24" t="str">
        <f>ID!C24</f>
        <v>佐々木 絵梨</v>
      </c>
      <c r="D24" s="23"/>
      <c r="E24" s="3"/>
      <c r="F24" s="3"/>
      <c r="G24" s="3"/>
      <c r="H24" s="24"/>
      <c r="I24" s="19"/>
      <c r="J24" s="3"/>
      <c r="K24" s="3"/>
      <c r="L24" s="3"/>
      <c r="M24" s="15"/>
      <c r="N24" s="23"/>
      <c r="O24" s="3"/>
      <c r="P24" s="3"/>
      <c r="Q24" s="3"/>
      <c r="R24" s="24"/>
      <c r="S24" s="19"/>
      <c r="T24" s="3"/>
      <c r="U24" s="3"/>
      <c r="V24" s="3"/>
      <c r="W24" s="15"/>
      <c r="X24" s="23"/>
      <c r="Y24" s="3"/>
      <c r="Z24" s="3"/>
      <c r="AA24" s="3"/>
      <c r="AB24" s="24"/>
      <c r="AC24" s="19"/>
      <c r="AD24" s="3"/>
      <c r="AE24" s="3"/>
      <c r="AF24" s="3"/>
      <c r="AG24" s="15"/>
      <c r="AH24" s="33"/>
    </row>
    <row r="25" spans="2:34" x14ac:dyDescent="0.4">
      <c r="B25" s="23" t="str">
        <f>ID!B25</f>
        <v>教諭</v>
      </c>
      <c r="C25" s="24" t="str">
        <f>ID!C25</f>
        <v>岩瀬 道雄</v>
      </c>
      <c r="D25" s="23"/>
      <c r="E25" s="3"/>
      <c r="F25" s="3"/>
      <c r="G25" s="3"/>
      <c r="H25" s="24"/>
      <c r="I25" s="19"/>
      <c r="J25" s="3"/>
      <c r="K25" s="3"/>
      <c r="L25" s="3"/>
      <c r="M25" s="15"/>
      <c r="N25" s="23"/>
      <c r="O25" s="3"/>
      <c r="P25" s="3"/>
      <c r="Q25" s="3"/>
      <c r="R25" s="24"/>
      <c r="S25" s="19"/>
      <c r="T25" s="3"/>
      <c r="U25" s="3"/>
      <c r="V25" s="3"/>
      <c r="W25" s="15"/>
      <c r="X25" s="23"/>
      <c r="Y25" s="3"/>
      <c r="Z25" s="3"/>
      <c r="AA25" s="3"/>
      <c r="AB25" s="24"/>
      <c r="AC25" s="19"/>
      <c r="AD25" s="3"/>
      <c r="AE25" s="3"/>
      <c r="AF25" s="3"/>
      <c r="AG25" s="15"/>
      <c r="AH25" s="33"/>
    </row>
    <row r="26" spans="2:34" x14ac:dyDescent="0.4">
      <c r="B26" s="23" t="str">
        <f>ID!B26</f>
        <v>教諭</v>
      </c>
      <c r="C26" s="24" t="str">
        <f>ID!C26</f>
        <v>西野 凛</v>
      </c>
      <c r="D26" s="23"/>
      <c r="E26" s="3"/>
      <c r="F26" s="3"/>
      <c r="G26" s="3"/>
      <c r="H26" s="24"/>
      <c r="I26" s="19"/>
      <c r="J26" s="3"/>
      <c r="K26" s="3"/>
      <c r="L26" s="3"/>
      <c r="M26" s="15"/>
      <c r="N26" s="23"/>
      <c r="O26" s="3"/>
      <c r="P26" s="3"/>
      <c r="Q26" s="3"/>
      <c r="R26" s="24"/>
      <c r="S26" s="19"/>
      <c r="T26" s="3"/>
      <c r="U26" s="3"/>
      <c r="V26" s="3"/>
      <c r="W26" s="15"/>
      <c r="X26" s="23"/>
      <c r="Y26" s="3"/>
      <c r="Z26" s="3"/>
      <c r="AA26" s="3"/>
      <c r="AB26" s="24"/>
      <c r="AC26" s="19"/>
      <c r="AD26" s="3"/>
      <c r="AE26" s="3"/>
      <c r="AF26" s="3"/>
      <c r="AG26" s="15"/>
      <c r="AH26" s="33"/>
    </row>
    <row r="27" spans="2:34" x14ac:dyDescent="0.4">
      <c r="B27" s="23" t="str">
        <f>ID!B27</f>
        <v>教諭</v>
      </c>
      <c r="C27" s="24" t="str">
        <f>ID!C27</f>
        <v>稲葉 義雄</v>
      </c>
      <c r="D27" s="23"/>
      <c r="E27" s="3"/>
      <c r="F27" s="3"/>
      <c r="G27" s="3"/>
      <c r="H27" s="24"/>
      <c r="I27" s="19"/>
      <c r="J27" s="3"/>
      <c r="K27" s="3"/>
      <c r="L27" s="3"/>
      <c r="M27" s="15"/>
      <c r="N27" s="23"/>
      <c r="O27" s="3"/>
      <c r="P27" s="3"/>
      <c r="Q27" s="3"/>
      <c r="R27" s="24"/>
      <c r="S27" s="19"/>
      <c r="T27" s="3"/>
      <c r="U27" s="3"/>
      <c r="V27" s="3"/>
      <c r="W27" s="15"/>
      <c r="X27" s="23"/>
      <c r="Y27" s="3"/>
      <c r="Z27" s="3"/>
      <c r="AA27" s="3"/>
      <c r="AB27" s="24"/>
      <c r="AC27" s="19"/>
      <c r="AD27" s="3"/>
      <c r="AE27" s="3"/>
      <c r="AF27" s="3"/>
      <c r="AG27" s="15"/>
      <c r="AH27" s="33"/>
    </row>
    <row r="28" spans="2:34" x14ac:dyDescent="0.4">
      <c r="B28" s="23" t="str">
        <f>ID!B28</f>
        <v>教諭</v>
      </c>
      <c r="C28" s="24" t="str">
        <f>ID!C28</f>
        <v>石川 哲郎</v>
      </c>
      <c r="D28" s="23"/>
      <c r="E28" s="3"/>
      <c r="F28" s="3"/>
      <c r="G28" s="3"/>
      <c r="H28" s="24"/>
      <c r="I28" s="19"/>
      <c r="J28" s="3"/>
      <c r="K28" s="3"/>
      <c r="L28" s="3"/>
      <c r="M28" s="15"/>
      <c r="N28" s="23"/>
      <c r="O28" s="3"/>
      <c r="P28" s="3"/>
      <c r="Q28" s="3"/>
      <c r="R28" s="24"/>
      <c r="S28" s="19"/>
      <c r="T28" s="3"/>
      <c r="U28" s="3"/>
      <c r="V28" s="3"/>
      <c r="W28" s="15"/>
      <c r="X28" s="23"/>
      <c r="Y28" s="3"/>
      <c r="Z28" s="3"/>
      <c r="AA28" s="3"/>
      <c r="AB28" s="24"/>
      <c r="AC28" s="19"/>
      <c r="AD28" s="3"/>
      <c r="AE28" s="3"/>
      <c r="AF28" s="3"/>
      <c r="AG28" s="15"/>
      <c r="AH28" s="33"/>
    </row>
    <row r="29" spans="2:34" x14ac:dyDescent="0.4">
      <c r="B29" s="23" t="str">
        <f>ID!B29</f>
        <v>教諭</v>
      </c>
      <c r="C29" s="24" t="str">
        <f>ID!C29</f>
        <v>黒後 昇</v>
      </c>
      <c r="D29" s="23"/>
      <c r="E29" s="3"/>
      <c r="F29" s="3"/>
      <c r="G29" s="3"/>
      <c r="H29" s="24"/>
      <c r="I29" s="19"/>
      <c r="J29" s="3"/>
      <c r="K29" s="3"/>
      <c r="L29" s="3"/>
      <c r="M29" s="15"/>
      <c r="N29" s="23"/>
      <c r="O29" s="3"/>
      <c r="P29" s="3"/>
      <c r="Q29" s="3"/>
      <c r="R29" s="24"/>
      <c r="S29" s="19"/>
      <c r="T29" s="3"/>
      <c r="U29" s="3"/>
      <c r="V29" s="3"/>
      <c r="W29" s="15"/>
      <c r="X29" s="23"/>
      <c r="Y29" s="3"/>
      <c r="Z29" s="3"/>
      <c r="AA29" s="3"/>
      <c r="AB29" s="24"/>
      <c r="AC29" s="19"/>
      <c r="AD29" s="3"/>
      <c r="AE29" s="3"/>
      <c r="AF29" s="3"/>
      <c r="AG29" s="15"/>
      <c r="AH29" s="33"/>
    </row>
    <row r="30" spans="2:34" x14ac:dyDescent="0.4">
      <c r="B30" s="23" t="str">
        <f>ID!B30</f>
        <v>教諭</v>
      </c>
      <c r="C30" s="24" t="str">
        <f>ID!C30</f>
        <v>三村 晋一</v>
      </c>
      <c r="D30" s="23"/>
      <c r="E30" s="3"/>
      <c r="F30" s="3"/>
      <c r="G30" s="3"/>
      <c r="H30" s="24"/>
      <c r="I30" s="19"/>
      <c r="J30" s="3"/>
      <c r="K30" s="3"/>
      <c r="L30" s="3"/>
      <c r="M30" s="15"/>
      <c r="N30" s="23"/>
      <c r="O30" s="3"/>
      <c r="P30" s="3"/>
      <c r="Q30" s="3"/>
      <c r="R30" s="24"/>
      <c r="S30" s="19"/>
      <c r="T30" s="3"/>
      <c r="U30" s="3"/>
      <c r="V30" s="3"/>
      <c r="W30" s="15"/>
      <c r="X30" s="23"/>
      <c r="Y30" s="3"/>
      <c r="Z30" s="3"/>
      <c r="AA30" s="3"/>
      <c r="AB30" s="24"/>
      <c r="AC30" s="19"/>
      <c r="AD30" s="3"/>
      <c r="AE30" s="3"/>
      <c r="AF30" s="3"/>
      <c r="AG30" s="15"/>
      <c r="AH30" s="33"/>
    </row>
    <row r="31" spans="2:34" x14ac:dyDescent="0.4">
      <c r="B31" s="23" t="str">
        <f>ID!B31</f>
        <v>教諭</v>
      </c>
      <c r="C31" s="24" t="str">
        <f>ID!C31</f>
        <v>早坂 茂男</v>
      </c>
      <c r="D31" s="23"/>
      <c r="E31" s="3"/>
      <c r="F31" s="3"/>
      <c r="G31" s="3"/>
      <c r="H31" s="24"/>
      <c r="I31" s="19"/>
      <c r="J31" s="3"/>
      <c r="K31" s="3"/>
      <c r="L31" s="3"/>
      <c r="M31" s="15"/>
      <c r="N31" s="23"/>
      <c r="O31" s="3"/>
      <c r="P31" s="3"/>
      <c r="Q31" s="3"/>
      <c r="R31" s="24"/>
      <c r="S31" s="19"/>
      <c r="T31" s="3"/>
      <c r="U31" s="3"/>
      <c r="V31" s="3"/>
      <c r="W31" s="15"/>
      <c r="X31" s="23"/>
      <c r="Y31" s="3"/>
      <c r="Z31" s="3"/>
      <c r="AA31" s="3"/>
      <c r="AB31" s="24"/>
      <c r="AC31" s="19"/>
      <c r="AD31" s="3"/>
      <c r="AE31" s="3"/>
      <c r="AF31" s="3"/>
      <c r="AG31" s="15"/>
      <c r="AH31" s="33"/>
    </row>
    <row r="32" spans="2:34" x14ac:dyDescent="0.4">
      <c r="B32" s="23" t="str">
        <f>ID!B32</f>
        <v>教諭</v>
      </c>
      <c r="C32" s="24" t="str">
        <f>ID!C32</f>
        <v>古川 彩</v>
      </c>
      <c r="D32" s="23"/>
      <c r="E32" s="3"/>
      <c r="F32" s="3"/>
      <c r="G32" s="3"/>
      <c r="H32" s="24"/>
      <c r="I32" s="19"/>
      <c r="J32" s="3"/>
      <c r="K32" s="3"/>
      <c r="L32" s="3"/>
      <c r="M32" s="15"/>
      <c r="N32" s="23"/>
      <c r="O32" s="3"/>
      <c r="P32" s="3"/>
      <c r="Q32" s="3"/>
      <c r="R32" s="24"/>
      <c r="S32" s="19"/>
      <c r="T32" s="3"/>
      <c r="U32" s="3"/>
      <c r="V32" s="3"/>
      <c r="W32" s="15"/>
      <c r="X32" s="23"/>
      <c r="Y32" s="3"/>
      <c r="Z32" s="3"/>
      <c r="AA32" s="3"/>
      <c r="AB32" s="24"/>
      <c r="AC32" s="19"/>
      <c r="AD32" s="3"/>
      <c r="AE32" s="3"/>
      <c r="AF32" s="3"/>
      <c r="AG32" s="15"/>
      <c r="AH32" s="33"/>
    </row>
    <row r="33" spans="2:34" x14ac:dyDescent="0.4">
      <c r="B33" s="23" t="str">
        <f>ID!B33</f>
        <v>教諭</v>
      </c>
      <c r="C33" s="24" t="str">
        <f>ID!C33</f>
        <v>美藤 忍</v>
      </c>
      <c r="D33" s="23"/>
      <c r="E33" s="3"/>
      <c r="F33" s="3"/>
      <c r="G33" s="3"/>
      <c r="H33" s="24"/>
      <c r="I33" s="19"/>
      <c r="J33" s="3"/>
      <c r="K33" s="3"/>
      <c r="L33" s="3"/>
      <c r="M33" s="15"/>
      <c r="N33" s="23"/>
      <c r="O33" s="3"/>
      <c r="P33" s="3"/>
      <c r="Q33" s="3"/>
      <c r="R33" s="24"/>
      <c r="S33" s="19"/>
      <c r="T33" s="3"/>
      <c r="U33" s="3"/>
      <c r="V33" s="3"/>
      <c r="W33" s="15"/>
      <c r="X33" s="23"/>
      <c r="Y33" s="3"/>
      <c r="Z33" s="3"/>
      <c r="AA33" s="3"/>
      <c r="AB33" s="24"/>
      <c r="AC33" s="19"/>
      <c r="AD33" s="3"/>
      <c r="AE33" s="3"/>
      <c r="AF33" s="3"/>
      <c r="AG33" s="15"/>
      <c r="AH33" s="33"/>
    </row>
    <row r="34" spans="2:34" x14ac:dyDescent="0.4">
      <c r="B34" s="23" t="str">
        <f>ID!B34</f>
        <v>教諭</v>
      </c>
      <c r="C34" s="24" t="str">
        <f>ID!C34</f>
        <v>飯沼 進</v>
      </c>
      <c r="D34" s="23"/>
      <c r="E34" s="3"/>
      <c r="F34" s="3"/>
      <c r="G34" s="3"/>
      <c r="H34" s="24"/>
      <c r="I34" s="19"/>
      <c r="J34" s="3"/>
      <c r="K34" s="3"/>
      <c r="L34" s="3"/>
      <c r="M34" s="15"/>
      <c r="N34" s="23"/>
      <c r="O34" s="3"/>
      <c r="P34" s="3"/>
      <c r="Q34" s="3"/>
      <c r="R34" s="24"/>
      <c r="S34" s="19"/>
      <c r="T34" s="3"/>
      <c r="U34" s="3"/>
      <c r="V34" s="3"/>
      <c r="W34" s="15"/>
      <c r="X34" s="23"/>
      <c r="Y34" s="3"/>
      <c r="Z34" s="3"/>
      <c r="AA34" s="3"/>
      <c r="AB34" s="24"/>
      <c r="AC34" s="19"/>
      <c r="AD34" s="3"/>
      <c r="AE34" s="3"/>
      <c r="AF34" s="3"/>
      <c r="AG34" s="15"/>
      <c r="AH34" s="33"/>
    </row>
    <row r="35" spans="2:34" x14ac:dyDescent="0.4">
      <c r="B35" s="23" t="str">
        <f>ID!B35</f>
        <v>教諭</v>
      </c>
      <c r="C35" s="24" t="str">
        <f>ID!C35</f>
        <v>持田 利男</v>
      </c>
      <c r="D35" s="23"/>
      <c r="E35" s="3"/>
      <c r="F35" s="3"/>
      <c r="G35" s="3"/>
      <c r="H35" s="24"/>
      <c r="I35" s="19"/>
      <c r="J35" s="3"/>
      <c r="K35" s="3"/>
      <c r="L35" s="3"/>
      <c r="M35" s="15"/>
      <c r="N35" s="23"/>
      <c r="O35" s="3"/>
      <c r="P35" s="3"/>
      <c r="Q35" s="3"/>
      <c r="R35" s="24"/>
      <c r="S35" s="19"/>
      <c r="T35" s="3"/>
      <c r="U35" s="3"/>
      <c r="V35" s="3"/>
      <c r="W35" s="15"/>
      <c r="X35" s="23"/>
      <c r="Y35" s="3"/>
      <c r="Z35" s="3"/>
      <c r="AA35" s="3"/>
      <c r="AB35" s="24"/>
      <c r="AC35" s="19"/>
      <c r="AD35" s="3"/>
      <c r="AE35" s="3"/>
      <c r="AF35" s="3"/>
      <c r="AG35" s="15"/>
      <c r="AH35" s="33"/>
    </row>
    <row r="36" spans="2:34" x14ac:dyDescent="0.4">
      <c r="B36" s="23" t="str">
        <f>ID!B36</f>
        <v>教諭</v>
      </c>
      <c r="C36" s="24" t="str">
        <f>ID!C36</f>
        <v>髙良 大二郎</v>
      </c>
      <c r="D36" s="23"/>
      <c r="E36" s="3"/>
      <c r="F36" s="3"/>
      <c r="G36" s="3"/>
      <c r="H36" s="24"/>
      <c r="I36" s="19"/>
      <c r="J36" s="3"/>
      <c r="K36" s="3"/>
      <c r="L36" s="3"/>
      <c r="M36" s="15"/>
      <c r="N36" s="23"/>
      <c r="O36" s="3"/>
      <c r="P36" s="3"/>
      <c r="Q36" s="3"/>
      <c r="R36" s="24"/>
      <c r="S36" s="19"/>
      <c r="T36" s="3"/>
      <c r="U36" s="3"/>
      <c r="V36" s="3"/>
      <c r="W36" s="15"/>
      <c r="X36" s="23"/>
      <c r="Y36" s="3"/>
      <c r="Z36" s="3"/>
      <c r="AA36" s="3"/>
      <c r="AB36" s="24"/>
      <c r="AC36" s="19"/>
      <c r="AD36" s="3"/>
      <c r="AE36" s="3"/>
      <c r="AF36" s="3"/>
      <c r="AG36" s="15"/>
      <c r="AH36" s="33"/>
    </row>
    <row r="37" spans="2:34" x14ac:dyDescent="0.4">
      <c r="B37" s="23" t="str">
        <f>ID!B37</f>
        <v>教諭</v>
      </c>
      <c r="C37" s="24" t="str">
        <f>ID!C37</f>
        <v>稲葉 唯</v>
      </c>
      <c r="D37" s="23"/>
      <c r="E37" s="3"/>
      <c r="F37" s="3"/>
      <c r="G37" s="3"/>
      <c r="H37" s="24"/>
      <c r="I37" s="19"/>
      <c r="J37" s="3"/>
      <c r="K37" s="3"/>
      <c r="L37" s="3"/>
      <c r="M37" s="15"/>
      <c r="N37" s="23"/>
      <c r="O37" s="3"/>
      <c r="P37" s="3"/>
      <c r="Q37" s="3"/>
      <c r="R37" s="24"/>
      <c r="S37" s="19"/>
      <c r="T37" s="3"/>
      <c r="U37" s="3"/>
      <c r="V37" s="3"/>
      <c r="W37" s="15"/>
      <c r="X37" s="23"/>
      <c r="Y37" s="3"/>
      <c r="Z37" s="3"/>
      <c r="AA37" s="3"/>
      <c r="AB37" s="24"/>
      <c r="AC37" s="19"/>
      <c r="AD37" s="3"/>
      <c r="AE37" s="3"/>
      <c r="AF37" s="3"/>
      <c r="AG37" s="15"/>
      <c r="AH37" s="33"/>
    </row>
    <row r="38" spans="2:34" x14ac:dyDescent="0.4">
      <c r="B38" s="23" t="str">
        <f>ID!B38</f>
        <v>教諭</v>
      </c>
      <c r="C38" s="24" t="str">
        <f>ID!C38</f>
        <v>山田 福太郎</v>
      </c>
      <c r="D38" s="23"/>
      <c r="E38" s="3"/>
      <c r="F38" s="3"/>
      <c r="G38" s="3"/>
      <c r="H38" s="24"/>
      <c r="I38" s="19"/>
      <c r="J38" s="3"/>
      <c r="K38" s="3"/>
      <c r="L38" s="3"/>
      <c r="M38" s="15"/>
      <c r="N38" s="23"/>
      <c r="O38" s="3"/>
      <c r="P38" s="3"/>
      <c r="Q38" s="3"/>
      <c r="R38" s="24"/>
      <c r="S38" s="19"/>
      <c r="T38" s="3"/>
      <c r="U38" s="3"/>
      <c r="V38" s="3"/>
      <c r="W38" s="15"/>
      <c r="X38" s="23"/>
      <c r="Y38" s="3"/>
      <c r="Z38" s="3"/>
      <c r="AA38" s="3"/>
      <c r="AB38" s="24"/>
      <c r="AC38" s="19"/>
      <c r="AD38" s="3"/>
      <c r="AE38" s="3"/>
      <c r="AF38" s="3"/>
      <c r="AG38" s="15"/>
      <c r="AH38" s="33"/>
    </row>
    <row r="39" spans="2:34" x14ac:dyDescent="0.4">
      <c r="B39" s="23" t="str">
        <f>ID!B39</f>
        <v>教諭</v>
      </c>
      <c r="C39" s="24" t="str">
        <f>ID!C39</f>
        <v>松井 美希</v>
      </c>
      <c r="D39" s="23"/>
      <c r="E39" s="3"/>
      <c r="F39" s="3"/>
      <c r="G39" s="3"/>
      <c r="H39" s="24"/>
      <c r="I39" s="19"/>
      <c r="J39" s="3"/>
      <c r="K39" s="3"/>
      <c r="L39" s="3"/>
      <c r="M39" s="15"/>
      <c r="N39" s="23"/>
      <c r="O39" s="3"/>
      <c r="P39" s="3"/>
      <c r="Q39" s="3"/>
      <c r="R39" s="24"/>
      <c r="S39" s="19"/>
      <c r="T39" s="3"/>
      <c r="U39" s="3"/>
      <c r="V39" s="3"/>
      <c r="W39" s="15"/>
      <c r="X39" s="23"/>
      <c r="Y39" s="3"/>
      <c r="Z39" s="3"/>
      <c r="AA39" s="3"/>
      <c r="AB39" s="24"/>
      <c r="AC39" s="19"/>
      <c r="AD39" s="3"/>
      <c r="AE39" s="3"/>
      <c r="AF39" s="3"/>
      <c r="AG39" s="15"/>
      <c r="AH39" s="33"/>
    </row>
    <row r="40" spans="2:34" x14ac:dyDescent="0.4">
      <c r="B40" s="23" t="str">
        <f>ID!B40</f>
        <v>教諭</v>
      </c>
      <c r="C40" s="24" t="str">
        <f>ID!C40</f>
        <v>鎮目 華純</v>
      </c>
      <c r="D40" s="23"/>
      <c r="E40" s="3"/>
      <c r="F40" s="3"/>
      <c r="G40" s="3"/>
      <c r="H40" s="24"/>
      <c r="I40" s="19"/>
      <c r="J40" s="3"/>
      <c r="K40" s="3"/>
      <c r="L40" s="3"/>
      <c r="M40" s="15"/>
      <c r="N40" s="23"/>
      <c r="O40" s="3"/>
      <c r="P40" s="3"/>
      <c r="Q40" s="3"/>
      <c r="R40" s="24"/>
      <c r="S40" s="19"/>
      <c r="T40" s="3"/>
      <c r="U40" s="3"/>
      <c r="V40" s="3"/>
      <c r="W40" s="15"/>
      <c r="X40" s="23"/>
      <c r="Y40" s="3"/>
      <c r="Z40" s="3"/>
      <c r="AA40" s="3"/>
      <c r="AB40" s="24"/>
      <c r="AC40" s="19"/>
      <c r="AD40" s="3"/>
      <c r="AE40" s="3"/>
      <c r="AF40" s="3"/>
      <c r="AG40" s="15"/>
      <c r="AH40" s="33"/>
    </row>
    <row r="41" spans="2:34" x14ac:dyDescent="0.4">
      <c r="B41" s="23" t="str">
        <f>ID!B41</f>
        <v>教諭</v>
      </c>
      <c r="C41" s="24" t="str">
        <f>ID!C41</f>
        <v>谷沢 和美</v>
      </c>
      <c r="D41" s="23"/>
      <c r="E41" s="3"/>
      <c r="F41" s="3"/>
      <c r="G41" s="3"/>
      <c r="H41" s="24"/>
      <c r="I41" s="19"/>
      <c r="J41" s="3"/>
      <c r="K41" s="3"/>
      <c r="L41" s="3"/>
      <c r="M41" s="15"/>
      <c r="N41" s="23"/>
      <c r="O41" s="3"/>
      <c r="P41" s="3"/>
      <c r="Q41" s="3"/>
      <c r="R41" s="24"/>
      <c r="S41" s="19"/>
      <c r="T41" s="3"/>
      <c r="U41" s="3"/>
      <c r="V41" s="3"/>
      <c r="W41" s="15"/>
      <c r="X41" s="23"/>
      <c r="Y41" s="3"/>
      <c r="Z41" s="3"/>
      <c r="AA41" s="3"/>
      <c r="AB41" s="24"/>
      <c r="AC41" s="19"/>
      <c r="AD41" s="3"/>
      <c r="AE41" s="3"/>
      <c r="AF41" s="3"/>
      <c r="AG41" s="15"/>
      <c r="AH41" s="33"/>
    </row>
    <row r="42" spans="2:34" x14ac:dyDescent="0.4">
      <c r="B42" s="23" t="str">
        <f>ID!B42</f>
        <v>教諭</v>
      </c>
      <c r="C42" s="24" t="str">
        <f>ID!C42</f>
        <v>大嶋 希</v>
      </c>
      <c r="D42" s="23"/>
      <c r="E42" s="3"/>
      <c r="F42" s="3"/>
      <c r="G42" s="3"/>
      <c r="H42" s="24"/>
      <c r="I42" s="19"/>
      <c r="J42" s="3"/>
      <c r="K42" s="3"/>
      <c r="L42" s="3"/>
      <c r="M42" s="15"/>
      <c r="N42" s="23"/>
      <c r="O42" s="3"/>
      <c r="P42" s="3"/>
      <c r="Q42" s="3"/>
      <c r="R42" s="24"/>
      <c r="S42" s="19"/>
      <c r="T42" s="3"/>
      <c r="U42" s="3"/>
      <c r="V42" s="3"/>
      <c r="W42" s="15"/>
      <c r="X42" s="23"/>
      <c r="Y42" s="3"/>
      <c r="Z42" s="3"/>
      <c r="AA42" s="3"/>
      <c r="AB42" s="24"/>
      <c r="AC42" s="19"/>
      <c r="AD42" s="3"/>
      <c r="AE42" s="3"/>
      <c r="AF42" s="3"/>
      <c r="AG42" s="15"/>
      <c r="AH42" s="33"/>
    </row>
    <row r="43" spans="2:34" x14ac:dyDescent="0.4">
      <c r="B43" s="23" t="str">
        <f>ID!B43</f>
        <v>教諭</v>
      </c>
      <c r="C43" s="24" t="str">
        <f>ID!C43</f>
        <v>清水 脩也</v>
      </c>
      <c r="D43" s="23"/>
      <c r="E43" s="3"/>
      <c r="F43" s="3"/>
      <c r="G43" s="3"/>
      <c r="H43" s="24"/>
      <c r="I43" s="19"/>
      <c r="J43" s="3"/>
      <c r="K43" s="3"/>
      <c r="L43" s="3"/>
      <c r="M43" s="15"/>
      <c r="N43" s="23"/>
      <c r="O43" s="3"/>
      <c r="P43" s="3"/>
      <c r="Q43" s="3"/>
      <c r="R43" s="24"/>
      <c r="S43" s="19"/>
      <c r="T43" s="3"/>
      <c r="U43" s="3"/>
      <c r="V43" s="3"/>
      <c r="W43" s="15"/>
      <c r="X43" s="23"/>
      <c r="Y43" s="3"/>
      <c r="Z43" s="3"/>
      <c r="AA43" s="3"/>
      <c r="AB43" s="24"/>
      <c r="AC43" s="19"/>
      <c r="AD43" s="3"/>
      <c r="AE43" s="3"/>
      <c r="AF43" s="3"/>
      <c r="AG43" s="15"/>
      <c r="AH43" s="33"/>
    </row>
    <row r="44" spans="2:34" x14ac:dyDescent="0.4">
      <c r="B44" s="23" t="str">
        <f>ID!B44</f>
        <v>教諭</v>
      </c>
      <c r="C44" s="24" t="str">
        <f>ID!C44</f>
        <v>新井 栞</v>
      </c>
      <c r="D44" s="23"/>
      <c r="E44" s="3"/>
      <c r="F44" s="3"/>
      <c r="G44" s="3"/>
      <c r="H44" s="24"/>
      <c r="I44" s="19"/>
      <c r="J44" s="3"/>
      <c r="K44" s="3"/>
      <c r="L44" s="3"/>
      <c r="M44" s="15"/>
      <c r="N44" s="23"/>
      <c r="O44" s="3"/>
      <c r="P44" s="3"/>
      <c r="Q44" s="3"/>
      <c r="R44" s="24"/>
      <c r="S44" s="19"/>
      <c r="T44" s="3"/>
      <c r="U44" s="3"/>
      <c r="V44" s="3"/>
      <c r="W44" s="15"/>
      <c r="X44" s="23"/>
      <c r="Y44" s="3"/>
      <c r="Z44" s="3"/>
      <c r="AA44" s="3"/>
      <c r="AB44" s="24"/>
      <c r="AC44" s="19"/>
      <c r="AD44" s="3"/>
      <c r="AE44" s="3"/>
      <c r="AF44" s="3"/>
      <c r="AG44" s="15"/>
      <c r="AH44" s="33"/>
    </row>
    <row r="45" spans="2:34" x14ac:dyDescent="0.4">
      <c r="B45" s="23" t="str">
        <f>ID!B45</f>
        <v>教諭</v>
      </c>
      <c r="C45" s="24" t="str">
        <f>ID!C45</f>
        <v>近賀 孝広</v>
      </c>
      <c r="D45" s="23"/>
      <c r="E45" s="3"/>
      <c r="F45" s="3"/>
      <c r="G45" s="3"/>
      <c r="H45" s="24"/>
      <c r="I45" s="19"/>
      <c r="J45" s="3"/>
      <c r="K45" s="3"/>
      <c r="L45" s="3"/>
      <c r="M45" s="15"/>
      <c r="N45" s="23"/>
      <c r="O45" s="3"/>
      <c r="P45" s="3"/>
      <c r="Q45" s="3"/>
      <c r="R45" s="24"/>
      <c r="S45" s="19"/>
      <c r="T45" s="3"/>
      <c r="U45" s="3"/>
      <c r="V45" s="3"/>
      <c r="W45" s="15"/>
      <c r="X45" s="23"/>
      <c r="Y45" s="3"/>
      <c r="Z45" s="3"/>
      <c r="AA45" s="3"/>
      <c r="AB45" s="24"/>
      <c r="AC45" s="19"/>
      <c r="AD45" s="3"/>
      <c r="AE45" s="3"/>
      <c r="AF45" s="3"/>
      <c r="AG45" s="15"/>
      <c r="AH45" s="33"/>
    </row>
    <row r="46" spans="2:34" x14ac:dyDescent="0.4">
      <c r="B46" s="23" t="str">
        <f>ID!B46</f>
        <v>教諭</v>
      </c>
      <c r="C46" s="24" t="str">
        <f>ID!C46</f>
        <v>馬場 大輔</v>
      </c>
      <c r="D46" s="23"/>
      <c r="E46" s="3"/>
      <c r="F46" s="3"/>
      <c r="G46" s="3"/>
      <c r="H46" s="24"/>
      <c r="I46" s="19"/>
      <c r="J46" s="3"/>
      <c r="K46" s="3"/>
      <c r="L46" s="3"/>
      <c r="M46" s="15"/>
      <c r="N46" s="23"/>
      <c r="O46" s="3"/>
      <c r="P46" s="3"/>
      <c r="Q46" s="3"/>
      <c r="R46" s="24"/>
      <c r="S46" s="19"/>
      <c r="T46" s="3"/>
      <c r="U46" s="3"/>
      <c r="V46" s="3"/>
      <c r="W46" s="15"/>
      <c r="X46" s="23"/>
      <c r="Y46" s="3"/>
      <c r="Z46" s="3"/>
      <c r="AA46" s="3"/>
      <c r="AB46" s="24"/>
      <c r="AC46" s="19"/>
      <c r="AD46" s="3"/>
      <c r="AE46" s="3"/>
      <c r="AF46" s="3"/>
      <c r="AG46" s="15"/>
      <c r="AH46" s="33"/>
    </row>
    <row r="47" spans="2:34" x14ac:dyDescent="0.4">
      <c r="B47" s="23" t="str">
        <f>ID!B47</f>
        <v>教諭</v>
      </c>
      <c r="C47" s="24" t="str">
        <f>ID!C47</f>
        <v>矢沢 学</v>
      </c>
      <c r="D47" s="23"/>
      <c r="E47" s="3"/>
      <c r="F47" s="3"/>
      <c r="G47" s="3"/>
      <c r="H47" s="24"/>
      <c r="I47" s="19"/>
      <c r="J47" s="3"/>
      <c r="K47" s="3"/>
      <c r="L47" s="3"/>
      <c r="M47" s="15"/>
      <c r="N47" s="23"/>
      <c r="O47" s="3"/>
      <c r="P47" s="3"/>
      <c r="Q47" s="3"/>
      <c r="R47" s="24"/>
      <c r="S47" s="19"/>
      <c r="T47" s="3"/>
      <c r="U47" s="3"/>
      <c r="V47" s="3"/>
      <c r="W47" s="15"/>
      <c r="X47" s="23"/>
      <c r="Y47" s="3"/>
      <c r="Z47" s="3"/>
      <c r="AA47" s="3"/>
      <c r="AB47" s="24"/>
      <c r="AC47" s="19"/>
      <c r="AD47" s="3"/>
      <c r="AE47" s="3"/>
      <c r="AF47" s="3"/>
      <c r="AG47" s="15"/>
      <c r="AH47" s="33"/>
    </row>
    <row r="48" spans="2:34" x14ac:dyDescent="0.4">
      <c r="B48" s="23" t="str">
        <f>ID!B48</f>
        <v>教諭</v>
      </c>
      <c r="C48" s="24" t="str">
        <f>ID!C48</f>
        <v>竹内 勇人</v>
      </c>
      <c r="D48" s="23"/>
      <c r="E48" s="3"/>
      <c r="F48" s="3"/>
      <c r="G48" s="3"/>
      <c r="H48" s="24"/>
      <c r="I48" s="19"/>
      <c r="J48" s="3"/>
      <c r="K48" s="3"/>
      <c r="L48" s="3"/>
      <c r="M48" s="15"/>
      <c r="N48" s="23"/>
      <c r="O48" s="3"/>
      <c r="P48" s="3"/>
      <c r="Q48" s="3"/>
      <c r="R48" s="24"/>
      <c r="S48" s="19"/>
      <c r="T48" s="3"/>
      <c r="U48" s="3"/>
      <c r="V48" s="3"/>
      <c r="W48" s="15"/>
      <c r="X48" s="23"/>
      <c r="Y48" s="3"/>
      <c r="Z48" s="3"/>
      <c r="AA48" s="3"/>
      <c r="AB48" s="24"/>
      <c r="AC48" s="19"/>
      <c r="AD48" s="3"/>
      <c r="AE48" s="3"/>
      <c r="AF48" s="3"/>
      <c r="AG48" s="15"/>
      <c r="AH48" s="33"/>
    </row>
    <row r="49" spans="2:34" x14ac:dyDescent="0.4">
      <c r="B49" s="23" t="str">
        <f>ID!B49</f>
        <v>教諭</v>
      </c>
      <c r="C49" s="24" t="str">
        <f>ID!C49</f>
        <v>宮崎 結衣</v>
      </c>
      <c r="D49" s="23"/>
      <c r="E49" s="3"/>
      <c r="F49" s="3"/>
      <c r="G49" s="3"/>
      <c r="H49" s="24"/>
      <c r="I49" s="19"/>
      <c r="J49" s="3"/>
      <c r="K49" s="3"/>
      <c r="L49" s="3"/>
      <c r="M49" s="15"/>
      <c r="N49" s="23"/>
      <c r="O49" s="3"/>
      <c r="P49" s="3"/>
      <c r="Q49" s="3"/>
      <c r="R49" s="24"/>
      <c r="S49" s="19"/>
      <c r="T49" s="3"/>
      <c r="U49" s="3"/>
      <c r="V49" s="3"/>
      <c r="W49" s="15"/>
      <c r="X49" s="23"/>
      <c r="Y49" s="3"/>
      <c r="Z49" s="3"/>
      <c r="AA49" s="3"/>
      <c r="AB49" s="24"/>
      <c r="AC49" s="19"/>
      <c r="AD49" s="3"/>
      <c r="AE49" s="3"/>
      <c r="AF49" s="3"/>
      <c r="AG49" s="15"/>
      <c r="AH49" s="33"/>
    </row>
    <row r="50" spans="2:34" x14ac:dyDescent="0.4">
      <c r="B50" s="23" t="str">
        <f>ID!B50</f>
        <v>教諭</v>
      </c>
      <c r="C50" s="24" t="str">
        <f>ID!C50</f>
        <v>福 ひかる</v>
      </c>
      <c r="D50" s="23"/>
      <c r="E50" s="3"/>
      <c r="F50" s="3"/>
      <c r="G50" s="3"/>
      <c r="H50" s="24"/>
      <c r="I50" s="19"/>
      <c r="J50" s="3"/>
      <c r="K50" s="3"/>
      <c r="L50" s="3"/>
      <c r="M50" s="15"/>
      <c r="N50" s="23"/>
      <c r="O50" s="3"/>
      <c r="P50" s="3"/>
      <c r="Q50" s="3"/>
      <c r="R50" s="24"/>
      <c r="S50" s="19"/>
      <c r="T50" s="3"/>
      <c r="U50" s="3"/>
      <c r="V50" s="3"/>
      <c r="W50" s="15"/>
      <c r="X50" s="23"/>
      <c r="Y50" s="3"/>
      <c r="Z50" s="3"/>
      <c r="AA50" s="3"/>
      <c r="AB50" s="24"/>
      <c r="AC50" s="19"/>
      <c r="AD50" s="3"/>
      <c r="AE50" s="3"/>
      <c r="AF50" s="3"/>
      <c r="AG50" s="15"/>
      <c r="AH50" s="33"/>
    </row>
    <row r="51" spans="2:34" x14ac:dyDescent="0.4">
      <c r="B51" s="23" t="str">
        <f>ID!B51</f>
        <v>教諭</v>
      </c>
      <c r="C51" s="24" t="str">
        <f>ID!C51</f>
        <v>床井 麗奈</v>
      </c>
      <c r="D51" s="23"/>
      <c r="E51" s="3"/>
      <c r="F51" s="3"/>
      <c r="G51" s="3"/>
      <c r="H51" s="24"/>
      <c r="I51" s="19"/>
      <c r="J51" s="3"/>
      <c r="K51" s="3"/>
      <c r="L51" s="3"/>
      <c r="M51" s="15"/>
      <c r="N51" s="23"/>
      <c r="O51" s="3"/>
      <c r="P51" s="3"/>
      <c r="Q51" s="3"/>
      <c r="R51" s="24"/>
      <c r="S51" s="19"/>
      <c r="T51" s="3"/>
      <c r="U51" s="3"/>
      <c r="V51" s="3"/>
      <c r="W51" s="15"/>
      <c r="X51" s="23"/>
      <c r="Y51" s="3"/>
      <c r="Z51" s="3"/>
      <c r="AA51" s="3"/>
      <c r="AB51" s="24"/>
      <c r="AC51" s="19"/>
      <c r="AD51" s="3"/>
      <c r="AE51" s="3"/>
      <c r="AF51" s="3"/>
      <c r="AG51" s="15"/>
      <c r="AH51" s="33"/>
    </row>
    <row r="52" spans="2:34" x14ac:dyDescent="0.4">
      <c r="B52" s="23" t="str">
        <f>ID!B52</f>
        <v>教諭</v>
      </c>
      <c r="C52" s="24" t="str">
        <f>ID!C52</f>
        <v>工藤 利久</v>
      </c>
      <c r="D52" s="23"/>
      <c r="E52" s="3"/>
      <c r="F52" s="3"/>
      <c r="G52" s="3"/>
      <c r="H52" s="24"/>
      <c r="I52" s="19"/>
      <c r="J52" s="3"/>
      <c r="K52" s="3"/>
      <c r="L52" s="3"/>
      <c r="M52" s="15"/>
      <c r="N52" s="23"/>
      <c r="O52" s="3"/>
      <c r="P52" s="3"/>
      <c r="Q52" s="3"/>
      <c r="R52" s="24"/>
      <c r="S52" s="19"/>
      <c r="T52" s="3"/>
      <c r="U52" s="3"/>
      <c r="V52" s="3"/>
      <c r="W52" s="15"/>
      <c r="X52" s="23"/>
      <c r="Y52" s="3"/>
      <c r="Z52" s="3"/>
      <c r="AA52" s="3"/>
      <c r="AB52" s="24"/>
      <c r="AC52" s="19"/>
      <c r="AD52" s="3"/>
      <c r="AE52" s="3"/>
      <c r="AF52" s="3"/>
      <c r="AG52" s="15"/>
      <c r="AH52" s="33"/>
    </row>
    <row r="53" spans="2:34" x14ac:dyDescent="0.4">
      <c r="B53" s="23" t="str">
        <f>ID!B53</f>
        <v>教諭</v>
      </c>
      <c r="C53" s="24" t="str">
        <f>ID!C53</f>
        <v>美保 俊介</v>
      </c>
      <c r="D53" s="23"/>
      <c r="E53" s="3"/>
      <c r="F53" s="3"/>
      <c r="G53" s="3"/>
      <c r="H53" s="24"/>
      <c r="I53" s="19"/>
      <c r="J53" s="3"/>
      <c r="K53" s="3"/>
      <c r="L53" s="3"/>
      <c r="M53" s="15"/>
      <c r="N53" s="23"/>
      <c r="O53" s="3"/>
      <c r="P53" s="3"/>
      <c r="Q53" s="3"/>
      <c r="R53" s="24"/>
      <c r="S53" s="19"/>
      <c r="T53" s="3"/>
      <c r="U53" s="3"/>
      <c r="V53" s="3"/>
      <c r="W53" s="15"/>
      <c r="X53" s="23"/>
      <c r="Y53" s="3"/>
      <c r="Z53" s="3"/>
      <c r="AA53" s="3"/>
      <c r="AB53" s="24"/>
      <c r="AC53" s="19"/>
      <c r="AD53" s="3"/>
      <c r="AE53" s="3"/>
      <c r="AF53" s="3"/>
      <c r="AG53" s="15"/>
      <c r="AH53" s="33"/>
    </row>
    <row r="54" spans="2:34" x14ac:dyDescent="0.4">
      <c r="B54" s="23" t="str">
        <f>ID!B54</f>
        <v>教諭</v>
      </c>
      <c r="C54" s="24" t="str">
        <f>ID!C54</f>
        <v>高畑 美沙希</v>
      </c>
      <c r="D54" s="23"/>
      <c r="E54" s="3"/>
      <c r="F54" s="3"/>
      <c r="G54" s="3"/>
      <c r="H54" s="24"/>
      <c r="I54" s="19"/>
      <c r="J54" s="3"/>
      <c r="K54" s="3"/>
      <c r="L54" s="3"/>
      <c r="M54" s="15"/>
      <c r="N54" s="23"/>
      <c r="O54" s="3"/>
      <c r="P54" s="3"/>
      <c r="Q54" s="3"/>
      <c r="R54" s="24"/>
      <c r="S54" s="19"/>
      <c r="T54" s="3"/>
      <c r="U54" s="3"/>
      <c r="V54" s="3"/>
      <c r="W54" s="15"/>
      <c r="X54" s="23"/>
      <c r="Y54" s="3"/>
      <c r="Z54" s="3"/>
      <c r="AA54" s="3"/>
      <c r="AB54" s="24"/>
      <c r="AC54" s="19"/>
      <c r="AD54" s="3"/>
      <c r="AE54" s="3"/>
      <c r="AF54" s="3"/>
      <c r="AG54" s="15"/>
      <c r="AH54" s="33"/>
    </row>
    <row r="55" spans="2:34" x14ac:dyDescent="0.4">
      <c r="B55" s="23" t="str">
        <f>ID!B55</f>
        <v>講師</v>
      </c>
      <c r="C55" s="24" t="str">
        <f>ID!C55</f>
        <v>中川 健二</v>
      </c>
      <c r="D55" s="23"/>
      <c r="E55" s="3"/>
      <c r="F55" s="3"/>
      <c r="G55" s="3"/>
      <c r="H55" s="24"/>
      <c r="I55" s="19"/>
      <c r="J55" s="3"/>
      <c r="K55" s="3"/>
      <c r="L55" s="3"/>
      <c r="M55" s="15"/>
      <c r="N55" s="23"/>
      <c r="O55" s="3"/>
      <c r="P55" s="3"/>
      <c r="Q55" s="3"/>
      <c r="R55" s="24"/>
      <c r="S55" s="19"/>
      <c r="T55" s="3"/>
      <c r="U55" s="3"/>
      <c r="V55" s="3"/>
      <c r="W55" s="15"/>
      <c r="X55" s="23"/>
      <c r="Y55" s="3"/>
      <c r="Z55" s="3"/>
      <c r="AA55" s="3"/>
      <c r="AB55" s="24"/>
      <c r="AC55" s="19"/>
      <c r="AD55" s="3"/>
      <c r="AE55" s="3"/>
      <c r="AF55" s="3"/>
      <c r="AG55" s="15"/>
      <c r="AH55" s="33"/>
    </row>
    <row r="56" spans="2:34" x14ac:dyDescent="0.4">
      <c r="B56" s="23" t="str">
        <f>ID!B56</f>
        <v>助教諭</v>
      </c>
      <c r="C56" s="24" t="str">
        <f>ID!C56</f>
        <v>小田倉 陸人</v>
      </c>
      <c r="D56" s="23"/>
      <c r="E56" s="3"/>
      <c r="F56" s="3"/>
      <c r="G56" s="3"/>
      <c r="H56" s="24"/>
      <c r="I56" s="19"/>
      <c r="J56" s="3"/>
      <c r="K56" s="3"/>
      <c r="L56" s="3"/>
      <c r="M56" s="15"/>
      <c r="N56" s="23"/>
      <c r="O56" s="3"/>
      <c r="P56" s="3"/>
      <c r="Q56" s="3"/>
      <c r="R56" s="24"/>
      <c r="S56" s="19"/>
      <c r="T56" s="3"/>
      <c r="U56" s="3"/>
      <c r="V56" s="3"/>
      <c r="W56" s="15"/>
      <c r="X56" s="23"/>
      <c r="Y56" s="3"/>
      <c r="Z56" s="3"/>
      <c r="AA56" s="3"/>
      <c r="AB56" s="24"/>
      <c r="AC56" s="19"/>
      <c r="AD56" s="3"/>
      <c r="AE56" s="3"/>
      <c r="AF56" s="3"/>
      <c r="AG56" s="15"/>
      <c r="AH56" s="33"/>
    </row>
    <row r="57" spans="2:34" x14ac:dyDescent="0.4">
      <c r="B57" s="23" t="str">
        <f>ID!B57</f>
        <v>養護教諭</v>
      </c>
      <c r="C57" s="24" t="str">
        <f>ID!C57</f>
        <v>喜田 菜々美</v>
      </c>
      <c r="D57" s="23"/>
      <c r="E57" s="3"/>
      <c r="F57" s="3"/>
      <c r="G57" s="3"/>
      <c r="H57" s="24"/>
      <c r="I57" s="19"/>
      <c r="J57" s="3"/>
      <c r="K57" s="3"/>
      <c r="L57" s="3"/>
      <c r="M57" s="15"/>
      <c r="N57" s="23"/>
      <c r="O57" s="3"/>
      <c r="P57" s="3"/>
      <c r="Q57" s="3"/>
      <c r="R57" s="24"/>
      <c r="S57" s="19"/>
      <c r="T57" s="3"/>
      <c r="U57" s="3"/>
      <c r="V57" s="3"/>
      <c r="W57" s="15"/>
      <c r="X57" s="23"/>
      <c r="Y57" s="3"/>
      <c r="Z57" s="3"/>
      <c r="AA57" s="3"/>
      <c r="AB57" s="24"/>
      <c r="AC57" s="19"/>
      <c r="AD57" s="3"/>
      <c r="AE57" s="3"/>
      <c r="AF57" s="3"/>
      <c r="AG57" s="15"/>
      <c r="AH57" s="33"/>
    </row>
    <row r="58" spans="2:34" x14ac:dyDescent="0.4">
      <c r="B58" s="23" t="str">
        <f>ID!B58</f>
        <v>主任実習助手</v>
      </c>
      <c r="C58" s="24" t="str">
        <f>ID!C58</f>
        <v>伊藤 亜希子</v>
      </c>
      <c r="D58" s="23"/>
      <c r="E58" s="3"/>
      <c r="F58" s="3"/>
      <c r="G58" s="3"/>
      <c r="H58" s="24"/>
      <c r="I58" s="19"/>
      <c r="J58" s="3"/>
      <c r="K58" s="3"/>
      <c r="L58" s="3"/>
      <c r="M58" s="15"/>
      <c r="N58" s="23"/>
      <c r="O58" s="3"/>
      <c r="P58" s="3"/>
      <c r="Q58" s="3"/>
      <c r="R58" s="24"/>
      <c r="S58" s="19"/>
      <c r="T58" s="3"/>
      <c r="U58" s="3"/>
      <c r="V58" s="3"/>
      <c r="W58" s="15"/>
      <c r="X58" s="23"/>
      <c r="Y58" s="3"/>
      <c r="Z58" s="3"/>
      <c r="AA58" s="3"/>
      <c r="AB58" s="24"/>
      <c r="AC58" s="19"/>
      <c r="AD58" s="3"/>
      <c r="AE58" s="3"/>
      <c r="AF58" s="3"/>
      <c r="AG58" s="15"/>
      <c r="AH58" s="33"/>
    </row>
    <row r="59" spans="2:34" x14ac:dyDescent="0.4">
      <c r="B59" s="23" t="str">
        <f>ID!B59</f>
        <v>主任実習助手</v>
      </c>
      <c r="C59" s="24" t="str">
        <f>ID!C59</f>
        <v>玉田 みらい</v>
      </c>
      <c r="D59" s="23"/>
      <c r="E59" s="3"/>
      <c r="F59" s="3"/>
      <c r="G59" s="3"/>
      <c r="H59" s="24"/>
      <c r="I59" s="19"/>
      <c r="J59" s="3"/>
      <c r="K59" s="3"/>
      <c r="L59" s="3"/>
      <c r="M59" s="15"/>
      <c r="N59" s="23"/>
      <c r="O59" s="3"/>
      <c r="P59" s="3"/>
      <c r="Q59" s="3"/>
      <c r="R59" s="24"/>
      <c r="S59" s="19"/>
      <c r="T59" s="3"/>
      <c r="U59" s="3"/>
      <c r="V59" s="3"/>
      <c r="W59" s="15"/>
      <c r="X59" s="23"/>
      <c r="Y59" s="3"/>
      <c r="Z59" s="3"/>
      <c r="AA59" s="3"/>
      <c r="AB59" s="24"/>
      <c r="AC59" s="19"/>
      <c r="AD59" s="3"/>
      <c r="AE59" s="3"/>
      <c r="AF59" s="3"/>
      <c r="AG59" s="15"/>
      <c r="AH59" s="33"/>
    </row>
    <row r="60" spans="2:34" x14ac:dyDescent="0.4">
      <c r="B60" s="23" t="str">
        <f>ID!B60</f>
        <v>主任実習助手</v>
      </c>
      <c r="C60" s="24" t="str">
        <f>ID!C60</f>
        <v>礒部 旭輝</v>
      </c>
      <c r="D60" s="23"/>
      <c r="E60" s="3"/>
      <c r="F60" s="3"/>
      <c r="G60" s="3"/>
      <c r="H60" s="24"/>
      <c r="I60" s="19"/>
      <c r="J60" s="3"/>
      <c r="K60" s="3"/>
      <c r="L60" s="3"/>
      <c r="M60" s="15"/>
      <c r="N60" s="23"/>
      <c r="O60" s="3"/>
      <c r="P60" s="3"/>
      <c r="Q60" s="3"/>
      <c r="R60" s="24"/>
      <c r="S60" s="19"/>
      <c r="T60" s="3"/>
      <c r="U60" s="3"/>
      <c r="V60" s="3"/>
      <c r="W60" s="15"/>
      <c r="X60" s="23"/>
      <c r="Y60" s="3"/>
      <c r="Z60" s="3"/>
      <c r="AA60" s="3"/>
      <c r="AB60" s="24"/>
      <c r="AC60" s="19"/>
      <c r="AD60" s="3"/>
      <c r="AE60" s="3"/>
      <c r="AF60" s="3"/>
      <c r="AG60" s="15"/>
      <c r="AH60" s="33"/>
    </row>
    <row r="61" spans="2:34" x14ac:dyDescent="0.4">
      <c r="B61" s="23" t="str">
        <f>ID!B61</f>
        <v>主任実習助手</v>
      </c>
      <c r="C61" s="24" t="str">
        <f>ID!C61</f>
        <v>石嶺 正三</v>
      </c>
      <c r="D61" s="23"/>
      <c r="E61" s="3"/>
      <c r="F61" s="3"/>
      <c r="G61" s="3"/>
      <c r="H61" s="24"/>
      <c r="I61" s="19"/>
      <c r="J61" s="3"/>
      <c r="K61" s="3"/>
      <c r="L61" s="3"/>
      <c r="M61" s="15"/>
      <c r="N61" s="23"/>
      <c r="O61" s="3"/>
      <c r="P61" s="3"/>
      <c r="Q61" s="3"/>
      <c r="R61" s="24"/>
      <c r="S61" s="19"/>
      <c r="T61" s="3"/>
      <c r="U61" s="3"/>
      <c r="V61" s="3"/>
      <c r="W61" s="15"/>
      <c r="X61" s="23"/>
      <c r="Y61" s="3"/>
      <c r="Z61" s="3"/>
      <c r="AA61" s="3"/>
      <c r="AB61" s="24"/>
      <c r="AC61" s="19"/>
      <c r="AD61" s="3"/>
      <c r="AE61" s="3"/>
      <c r="AF61" s="3"/>
      <c r="AG61" s="15"/>
      <c r="AH61" s="33"/>
    </row>
    <row r="62" spans="2:34" x14ac:dyDescent="0.4">
      <c r="B62" s="23" t="str">
        <f>ID!B62</f>
        <v>主任実習助手</v>
      </c>
      <c r="C62" s="24" t="str">
        <f>ID!C62</f>
        <v>國領 駿介</v>
      </c>
      <c r="D62" s="23"/>
      <c r="E62" s="3"/>
      <c r="F62" s="3"/>
      <c r="G62" s="3"/>
      <c r="H62" s="24"/>
      <c r="I62" s="19"/>
      <c r="J62" s="3"/>
      <c r="K62" s="3"/>
      <c r="L62" s="3"/>
      <c r="M62" s="15"/>
      <c r="N62" s="23"/>
      <c r="O62" s="3"/>
      <c r="P62" s="3"/>
      <c r="Q62" s="3"/>
      <c r="R62" s="24"/>
      <c r="S62" s="19"/>
      <c r="T62" s="3"/>
      <c r="U62" s="3"/>
      <c r="V62" s="3"/>
      <c r="W62" s="15"/>
      <c r="X62" s="23"/>
      <c r="Y62" s="3"/>
      <c r="Z62" s="3"/>
      <c r="AA62" s="3"/>
      <c r="AB62" s="24"/>
      <c r="AC62" s="19"/>
      <c r="AD62" s="3"/>
      <c r="AE62" s="3"/>
      <c r="AF62" s="3"/>
      <c r="AG62" s="15"/>
      <c r="AH62" s="33"/>
    </row>
    <row r="63" spans="2:34" x14ac:dyDescent="0.4">
      <c r="B63" s="23" t="str">
        <f>ID!B63</f>
        <v>実習助手</v>
      </c>
      <c r="C63" s="24" t="str">
        <f>ID!C63</f>
        <v>溝口 哲也</v>
      </c>
      <c r="D63" s="23"/>
      <c r="E63" s="3"/>
      <c r="F63" s="3"/>
      <c r="G63" s="3"/>
      <c r="H63" s="24"/>
      <c r="I63" s="19"/>
      <c r="J63" s="3"/>
      <c r="K63" s="3"/>
      <c r="L63" s="3"/>
      <c r="M63" s="15"/>
      <c r="N63" s="23"/>
      <c r="O63" s="3"/>
      <c r="P63" s="3"/>
      <c r="Q63" s="3"/>
      <c r="R63" s="24"/>
      <c r="S63" s="19"/>
      <c r="T63" s="3"/>
      <c r="U63" s="3"/>
      <c r="V63" s="3"/>
      <c r="W63" s="15"/>
      <c r="X63" s="23"/>
      <c r="Y63" s="3"/>
      <c r="Z63" s="3"/>
      <c r="AA63" s="3"/>
      <c r="AB63" s="24"/>
      <c r="AC63" s="19"/>
      <c r="AD63" s="3"/>
      <c r="AE63" s="3"/>
      <c r="AF63" s="3"/>
      <c r="AG63" s="15"/>
      <c r="AH63" s="33"/>
    </row>
    <row r="64" spans="2:34" x14ac:dyDescent="0.4">
      <c r="B64" s="23" t="str">
        <f>ID!B64</f>
        <v>実習助手</v>
      </c>
      <c r="C64" s="24" t="str">
        <f>ID!C64</f>
        <v>武智 七海</v>
      </c>
      <c r="D64" s="23"/>
      <c r="E64" s="3"/>
      <c r="F64" s="3"/>
      <c r="G64" s="3"/>
      <c r="H64" s="24"/>
      <c r="I64" s="19"/>
      <c r="J64" s="3"/>
      <c r="K64" s="3"/>
      <c r="L64" s="3"/>
      <c r="M64" s="15"/>
      <c r="N64" s="23"/>
      <c r="O64" s="3"/>
      <c r="P64" s="3"/>
      <c r="Q64" s="3"/>
      <c r="R64" s="24"/>
      <c r="S64" s="19"/>
      <c r="T64" s="3"/>
      <c r="U64" s="3"/>
      <c r="V64" s="3"/>
      <c r="W64" s="15"/>
      <c r="X64" s="23"/>
      <c r="Y64" s="3"/>
      <c r="Z64" s="3"/>
      <c r="AA64" s="3"/>
      <c r="AB64" s="24"/>
      <c r="AC64" s="19"/>
      <c r="AD64" s="3"/>
      <c r="AE64" s="3"/>
      <c r="AF64" s="3"/>
      <c r="AG64" s="15"/>
      <c r="AH64" s="33"/>
    </row>
    <row r="65" spans="2:34" x14ac:dyDescent="0.4">
      <c r="B65" s="23" t="str">
        <f>ID!B65</f>
        <v>実習助手</v>
      </c>
      <c r="C65" s="24" t="str">
        <f>ID!C65</f>
        <v>岡部 忍</v>
      </c>
      <c r="D65" s="23"/>
      <c r="E65" s="3"/>
      <c r="F65" s="3"/>
      <c r="G65" s="3"/>
      <c r="H65" s="24"/>
      <c r="I65" s="19"/>
      <c r="J65" s="3"/>
      <c r="K65" s="3"/>
      <c r="L65" s="3"/>
      <c r="M65" s="15"/>
      <c r="N65" s="23"/>
      <c r="O65" s="3"/>
      <c r="P65" s="3"/>
      <c r="Q65" s="3"/>
      <c r="R65" s="24"/>
      <c r="S65" s="19"/>
      <c r="T65" s="3"/>
      <c r="U65" s="3"/>
      <c r="V65" s="3"/>
      <c r="W65" s="15"/>
      <c r="X65" s="23"/>
      <c r="Y65" s="3"/>
      <c r="Z65" s="3"/>
      <c r="AA65" s="3"/>
      <c r="AB65" s="24"/>
      <c r="AC65" s="19"/>
      <c r="AD65" s="3"/>
      <c r="AE65" s="3"/>
      <c r="AF65" s="3"/>
      <c r="AG65" s="15"/>
      <c r="AH65" s="33"/>
    </row>
    <row r="66" spans="2:34" x14ac:dyDescent="0.4">
      <c r="B66" s="23">
        <f>ID!B66</f>
        <v>0</v>
      </c>
      <c r="C66" s="24" t="str">
        <f>ID!C66</f>
        <v>薮下 有紀</v>
      </c>
      <c r="D66" s="23"/>
      <c r="E66" s="3"/>
      <c r="F66" s="3"/>
      <c r="G66" s="3"/>
      <c r="H66" s="24"/>
      <c r="I66" s="19"/>
      <c r="J66" s="3"/>
      <c r="K66" s="3"/>
      <c r="L66" s="3"/>
      <c r="M66" s="15"/>
      <c r="N66" s="23"/>
      <c r="O66" s="3"/>
      <c r="P66" s="3"/>
      <c r="Q66" s="3"/>
      <c r="R66" s="24"/>
      <c r="S66" s="19"/>
      <c r="T66" s="3"/>
      <c r="U66" s="3"/>
      <c r="V66" s="3"/>
      <c r="W66" s="15"/>
      <c r="X66" s="23"/>
      <c r="Y66" s="3"/>
      <c r="Z66" s="3"/>
      <c r="AA66" s="3"/>
      <c r="AB66" s="24"/>
      <c r="AC66" s="19"/>
      <c r="AD66" s="3"/>
      <c r="AE66" s="3"/>
      <c r="AF66" s="3"/>
      <c r="AG66" s="15"/>
      <c r="AH66" s="33"/>
    </row>
    <row r="67" spans="2:34" x14ac:dyDescent="0.4">
      <c r="B67" s="23">
        <f>ID!B67</f>
        <v>0</v>
      </c>
      <c r="C67" s="24" t="str">
        <f>ID!C67</f>
        <v>三宅 優</v>
      </c>
      <c r="D67" s="23"/>
      <c r="E67" s="3"/>
      <c r="F67" s="3"/>
      <c r="G67" s="3"/>
      <c r="H67" s="24"/>
      <c r="I67" s="19"/>
      <c r="J67" s="3"/>
      <c r="K67" s="3"/>
      <c r="L67" s="3"/>
      <c r="M67" s="15"/>
      <c r="N67" s="23"/>
      <c r="O67" s="3"/>
      <c r="P67" s="3"/>
      <c r="Q67" s="3"/>
      <c r="R67" s="24"/>
      <c r="S67" s="19"/>
      <c r="T67" s="3"/>
      <c r="U67" s="3"/>
      <c r="V67" s="3"/>
      <c r="W67" s="15"/>
      <c r="X67" s="23"/>
      <c r="Y67" s="3"/>
      <c r="Z67" s="3"/>
      <c r="AA67" s="3"/>
      <c r="AB67" s="24"/>
      <c r="AC67" s="19"/>
      <c r="AD67" s="3"/>
      <c r="AE67" s="3"/>
      <c r="AF67" s="3"/>
      <c r="AG67" s="15"/>
      <c r="AH67" s="33"/>
    </row>
    <row r="68" spans="2:34" x14ac:dyDescent="0.4">
      <c r="B68" s="23">
        <f>ID!B68</f>
        <v>0</v>
      </c>
      <c r="C68" s="24" t="str">
        <f>ID!C68</f>
        <v>木下 香菜子</v>
      </c>
      <c r="D68" s="23"/>
      <c r="E68" s="3"/>
      <c r="F68" s="3"/>
      <c r="G68" s="3"/>
      <c r="H68" s="24"/>
      <c r="I68" s="19"/>
      <c r="J68" s="3"/>
      <c r="K68" s="3"/>
      <c r="L68" s="3"/>
      <c r="M68" s="15"/>
      <c r="N68" s="23"/>
      <c r="O68" s="3"/>
      <c r="P68" s="3"/>
      <c r="Q68" s="3"/>
      <c r="R68" s="24"/>
      <c r="S68" s="19"/>
      <c r="T68" s="3"/>
      <c r="U68" s="3"/>
      <c r="V68" s="3"/>
      <c r="W68" s="15"/>
      <c r="X68" s="23"/>
      <c r="Y68" s="3"/>
      <c r="Z68" s="3"/>
      <c r="AA68" s="3"/>
      <c r="AB68" s="24"/>
      <c r="AC68" s="19"/>
      <c r="AD68" s="3"/>
      <c r="AE68" s="3"/>
      <c r="AF68" s="3"/>
      <c r="AG68" s="15"/>
      <c r="AH68" s="33"/>
    </row>
    <row r="69" spans="2:34" x14ac:dyDescent="0.4">
      <c r="B69" s="23">
        <f>ID!B69</f>
        <v>0</v>
      </c>
      <c r="C69" s="24" t="str">
        <f>ID!C69</f>
        <v>河野 朱実</v>
      </c>
      <c r="D69" s="23"/>
      <c r="E69" s="3"/>
      <c r="F69" s="3"/>
      <c r="G69" s="3"/>
      <c r="H69" s="24"/>
      <c r="I69" s="19"/>
      <c r="J69" s="3"/>
      <c r="K69" s="3"/>
      <c r="L69" s="3"/>
      <c r="M69" s="15"/>
      <c r="N69" s="23"/>
      <c r="O69" s="3"/>
      <c r="P69" s="3"/>
      <c r="Q69" s="3"/>
      <c r="R69" s="24"/>
      <c r="S69" s="19"/>
      <c r="T69" s="3"/>
      <c r="U69" s="3"/>
      <c r="V69" s="3"/>
      <c r="W69" s="15"/>
      <c r="X69" s="23"/>
      <c r="Y69" s="3"/>
      <c r="Z69" s="3"/>
      <c r="AA69" s="3"/>
      <c r="AB69" s="24"/>
      <c r="AC69" s="19"/>
      <c r="AD69" s="3"/>
      <c r="AE69" s="3"/>
      <c r="AF69" s="3"/>
      <c r="AG69" s="15"/>
      <c r="AH69" s="33"/>
    </row>
    <row r="70" spans="2:34" x14ac:dyDescent="0.4">
      <c r="B70" s="23">
        <f>ID!B70</f>
        <v>0</v>
      </c>
      <c r="C70" s="24" t="str">
        <f>ID!C70</f>
        <v>田尻 健二</v>
      </c>
      <c r="D70" s="23"/>
      <c r="E70" s="3"/>
      <c r="F70" s="3"/>
      <c r="G70" s="3"/>
      <c r="H70" s="24"/>
      <c r="I70" s="19"/>
      <c r="J70" s="3"/>
      <c r="K70" s="3"/>
      <c r="L70" s="3"/>
      <c r="M70" s="15"/>
      <c r="N70" s="23"/>
      <c r="O70" s="3"/>
      <c r="P70" s="3"/>
      <c r="Q70" s="3"/>
      <c r="R70" s="24"/>
      <c r="S70" s="19"/>
      <c r="T70" s="3"/>
      <c r="U70" s="3"/>
      <c r="V70" s="3"/>
      <c r="W70" s="15"/>
      <c r="X70" s="23"/>
      <c r="Y70" s="3"/>
      <c r="Z70" s="3"/>
      <c r="AA70" s="3"/>
      <c r="AB70" s="24"/>
      <c r="AC70" s="19"/>
      <c r="AD70" s="3"/>
      <c r="AE70" s="3"/>
      <c r="AF70" s="3"/>
      <c r="AG70" s="15"/>
      <c r="AH70" s="33"/>
    </row>
    <row r="71" spans="2:34" x14ac:dyDescent="0.4">
      <c r="B71" s="23">
        <f>ID!B71</f>
        <v>0</v>
      </c>
      <c r="C71" s="24" t="str">
        <f>ID!C71</f>
        <v>杉原 雄二</v>
      </c>
      <c r="D71" s="23"/>
      <c r="E71" s="3"/>
      <c r="F71" s="3"/>
      <c r="G71" s="3"/>
      <c r="H71" s="24"/>
      <c r="I71" s="19"/>
      <c r="J71" s="3"/>
      <c r="K71" s="3"/>
      <c r="L71" s="3"/>
      <c r="M71" s="15"/>
      <c r="N71" s="23"/>
      <c r="O71" s="3"/>
      <c r="P71" s="3"/>
      <c r="Q71" s="3"/>
      <c r="R71" s="24"/>
      <c r="S71" s="19"/>
      <c r="T71" s="3"/>
      <c r="U71" s="3"/>
      <c r="V71" s="3"/>
      <c r="W71" s="15"/>
      <c r="X71" s="23"/>
      <c r="Y71" s="3"/>
      <c r="Z71" s="3"/>
      <c r="AA71" s="3"/>
      <c r="AB71" s="24"/>
      <c r="AC71" s="19"/>
      <c r="AD71" s="3"/>
      <c r="AE71" s="3"/>
      <c r="AF71" s="3"/>
      <c r="AG71" s="15"/>
      <c r="AH71" s="33"/>
    </row>
    <row r="72" spans="2:34" x14ac:dyDescent="0.4">
      <c r="B72" s="23">
        <f>ID!B72</f>
        <v>0</v>
      </c>
      <c r="C72" s="24" t="str">
        <f>ID!C72</f>
        <v>櫻井 啓司</v>
      </c>
      <c r="D72" s="23"/>
      <c r="E72" s="3"/>
      <c r="F72" s="3"/>
      <c r="G72" s="3"/>
      <c r="H72" s="24"/>
      <c r="I72" s="19"/>
      <c r="J72" s="3"/>
      <c r="K72" s="3"/>
      <c r="L72" s="3"/>
      <c r="M72" s="15"/>
      <c r="N72" s="23"/>
      <c r="O72" s="3"/>
      <c r="P72" s="3"/>
      <c r="Q72" s="3"/>
      <c r="R72" s="24"/>
      <c r="S72" s="19"/>
      <c r="T72" s="3"/>
      <c r="U72" s="3"/>
      <c r="V72" s="3"/>
      <c r="W72" s="15"/>
      <c r="X72" s="23"/>
      <c r="Y72" s="3"/>
      <c r="Z72" s="3"/>
      <c r="AA72" s="3"/>
      <c r="AB72" s="24"/>
      <c r="AC72" s="19"/>
      <c r="AD72" s="3"/>
      <c r="AE72" s="3"/>
      <c r="AF72" s="3"/>
      <c r="AG72" s="15"/>
      <c r="AH72" s="33"/>
    </row>
    <row r="73" spans="2:34" x14ac:dyDescent="0.4">
      <c r="B73" s="23">
        <f>ID!B73</f>
        <v>0</v>
      </c>
      <c r="C73" s="24" t="str">
        <f>ID!C73</f>
        <v>中田 敦次</v>
      </c>
      <c r="D73" s="23"/>
      <c r="E73" s="3"/>
      <c r="F73" s="3"/>
      <c r="G73" s="3"/>
      <c r="H73" s="24"/>
      <c r="I73" s="19"/>
      <c r="J73" s="3"/>
      <c r="K73" s="3"/>
      <c r="L73" s="3"/>
      <c r="M73" s="15"/>
      <c r="N73" s="23"/>
      <c r="O73" s="3"/>
      <c r="P73" s="3"/>
      <c r="Q73" s="3"/>
      <c r="R73" s="24"/>
      <c r="S73" s="19"/>
      <c r="T73" s="3"/>
      <c r="U73" s="3"/>
      <c r="V73" s="3"/>
      <c r="W73" s="15"/>
      <c r="X73" s="23"/>
      <c r="Y73" s="3"/>
      <c r="Z73" s="3"/>
      <c r="AA73" s="3"/>
      <c r="AB73" s="24"/>
      <c r="AC73" s="19"/>
      <c r="AD73" s="3"/>
      <c r="AE73" s="3"/>
      <c r="AF73" s="3"/>
      <c r="AG73" s="15"/>
      <c r="AH73" s="33"/>
    </row>
    <row r="74" spans="2:34" x14ac:dyDescent="0.4">
      <c r="B74" s="23">
        <f>ID!B74</f>
        <v>0</v>
      </c>
      <c r="C74" s="24" t="str">
        <f>ID!C74</f>
        <v>島 奈央</v>
      </c>
      <c r="D74" s="23"/>
      <c r="E74" s="3"/>
      <c r="F74" s="3"/>
      <c r="G74" s="3"/>
      <c r="H74" s="24"/>
      <c r="I74" s="19"/>
      <c r="J74" s="3"/>
      <c r="K74" s="3"/>
      <c r="L74" s="3"/>
      <c r="M74" s="15"/>
      <c r="N74" s="23"/>
      <c r="O74" s="3"/>
      <c r="P74" s="3"/>
      <c r="Q74" s="3"/>
      <c r="R74" s="24"/>
      <c r="S74" s="19"/>
      <c r="T74" s="3"/>
      <c r="U74" s="3"/>
      <c r="V74" s="3"/>
      <c r="W74" s="15"/>
      <c r="X74" s="23"/>
      <c r="Y74" s="3"/>
      <c r="Z74" s="3"/>
      <c r="AA74" s="3"/>
      <c r="AB74" s="24"/>
      <c r="AC74" s="19"/>
      <c r="AD74" s="3"/>
      <c r="AE74" s="3"/>
      <c r="AF74" s="3"/>
      <c r="AG74" s="15"/>
      <c r="AH74" s="33"/>
    </row>
    <row r="75" spans="2:34" x14ac:dyDescent="0.4">
      <c r="B75" s="23">
        <f>ID!B75</f>
        <v>0</v>
      </c>
      <c r="C75" s="24" t="str">
        <f>ID!C75</f>
        <v>大熊 勉</v>
      </c>
      <c r="D75" s="23"/>
      <c r="E75" s="3"/>
      <c r="F75" s="3"/>
      <c r="G75" s="3"/>
      <c r="H75" s="24"/>
      <c r="I75" s="19"/>
      <c r="J75" s="3"/>
      <c r="K75" s="3"/>
      <c r="L75" s="3"/>
      <c r="M75" s="15"/>
      <c r="N75" s="23"/>
      <c r="O75" s="3"/>
      <c r="P75" s="3"/>
      <c r="Q75" s="3"/>
      <c r="R75" s="24"/>
      <c r="S75" s="19"/>
      <c r="T75" s="3"/>
      <c r="U75" s="3"/>
      <c r="V75" s="3"/>
      <c r="W75" s="15"/>
      <c r="X75" s="23"/>
      <c r="Y75" s="3"/>
      <c r="Z75" s="3"/>
      <c r="AA75" s="3"/>
      <c r="AB75" s="24"/>
      <c r="AC75" s="19"/>
      <c r="AD75" s="3"/>
      <c r="AE75" s="3"/>
      <c r="AF75" s="3"/>
      <c r="AG75" s="15"/>
      <c r="AH75" s="33"/>
    </row>
    <row r="76" spans="2:34" x14ac:dyDescent="0.4">
      <c r="B76" s="23">
        <f>ID!B76</f>
        <v>0</v>
      </c>
      <c r="C76" s="24" t="str">
        <f>ID!C76</f>
        <v>野田 晃多</v>
      </c>
      <c r="D76" s="23"/>
      <c r="E76" s="3"/>
      <c r="F76" s="3"/>
      <c r="G76" s="3"/>
      <c r="H76" s="24"/>
      <c r="I76" s="19"/>
      <c r="J76" s="3"/>
      <c r="K76" s="3"/>
      <c r="L76" s="3"/>
      <c r="M76" s="15"/>
      <c r="N76" s="23"/>
      <c r="O76" s="3"/>
      <c r="P76" s="3"/>
      <c r="Q76" s="3"/>
      <c r="R76" s="24"/>
      <c r="S76" s="19"/>
      <c r="T76" s="3"/>
      <c r="U76" s="3"/>
      <c r="V76" s="3"/>
      <c r="W76" s="15"/>
      <c r="X76" s="23"/>
      <c r="Y76" s="3"/>
      <c r="Z76" s="3"/>
      <c r="AA76" s="3"/>
      <c r="AB76" s="24"/>
      <c r="AC76" s="19"/>
      <c r="AD76" s="3"/>
      <c r="AE76" s="3"/>
      <c r="AF76" s="3"/>
      <c r="AG76" s="15"/>
      <c r="AH76" s="33"/>
    </row>
    <row r="77" spans="2:34" x14ac:dyDescent="0.4">
      <c r="B77" s="23">
        <f>ID!B77</f>
        <v>0</v>
      </c>
      <c r="C77" s="24" t="str">
        <f>ID!C77</f>
        <v>河合 武士</v>
      </c>
      <c r="D77" s="23"/>
      <c r="E77" s="3"/>
      <c r="F77" s="3"/>
      <c r="G77" s="3"/>
      <c r="H77" s="24"/>
      <c r="I77" s="19"/>
      <c r="J77" s="3"/>
      <c r="K77" s="3"/>
      <c r="L77" s="3"/>
      <c r="M77" s="15"/>
      <c r="N77" s="23"/>
      <c r="O77" s="3"/>
      <c r="P77" s="3"/>
      <c r="Q77" s="3"/>
      <c r="R77" s="24"/>
      <c r="S77" s="19"/>
      <c r="T77" s="3"/>
      <c r="U77" s="3"/>
      <c r="V77" s="3"/>
      <c r="W77" s="15"/>
      <c r="X77" s="23"/>
      <c r="Y77" s="3"/>
      <c r="Z77" s="3"/>
      <c r="AA77" s="3"/>
      <c r="AB77" s="24"/>
      <c r="AC77" s="19"/>
      <c r="AD77" s="3"/>
      <c r="AE77" s="3"/>
      <c r="AF77" s="3"/>
      <c r="AG77" s="15"/>
      <c r="AH77" s="33"/>
    </row>
    <row r="78" spans="2:34" x14ac:dyDescent="0.4">
      <c r="B78" s="23">
        <f>ID!B78</f>
        <v>0</v>
      </c>
      <c r="C78" s="24" t="str">
        <f>ID!C78</f>
        <v>瀬口 長栄</v>
      </c>
      <c r="D78" s="23"/>
      <c r="E78" s="3"/>
      <c r="F78" s="3"/>
      <c r="G78" s="3"/>
      <c r="H78" s="24"/>
      <c r="I78" s="19"/>
      <c r="J78" s="3"/>
      <c r="K78" s="3"/>
      <c r="L78" s="3"/>
      <c r="M78" s="15"/>
      <c r="N78" s="23"/>
      <c r="O78" s="3"/>
      <c r="P78" s="3"/>
      <c r="Q78" s="3"/>
      <c r="R78" s="24"/>
      <c r="S78" s="19"/>
      <c r="T78" s="3"/>
      <c r="U78" s="3"/>
      <c r="V78" s="3"/>
      <c r="W78" s="15"/>
      <c r="X78" s="23"/>
      <c r="Y78" s="3"/>
      <c r="Z78" s="3"/>
      <c r="AA78" s="3"/>
      <c r="AB78" s="24"/>
      <c r="AC78" s="19"/>
      <c r="AD78" s="3"/>
      <c r="AE78" s="3"/>
      <c r="AF78" s="3"/>
      <c r="AG78" s="15"/>
      <c r="AH78" s="33"/>
    </row>
    <row r="79" spans="2:34" x14ac:dyDescent="0.4">
      <c r="B79" s="23">
        <f>ID!B79</f>
        <v>0</v>
      </c>
      <c r="C79" s="24" t="str">
        <f>ID!C79</f>
        <v>田中 直人</v>
      </c>
      <c r="D79" s="23"/>
      <c r="E79" s="3"/>
      <c r="F79" s="3"/>
      <c r="G79" s="3"/>
      <c r="H79" s="24"/>
      <c r="I79" s="19"/>
      <c r="J79" s="3"/>
      <c r="K79" s="3"/>
      <c r="L79" s="3"/>
      <c r="M79" s="15"/>
      <c r="N79" s="23"/>
      <c r="O79" s="3"/>
      <c r="P79" s="3"/>
      <c r="Q79" s="3"/>
      <c r="R79" s="24"/>
      <c r="S79" s="19"/>
      <c r="T79" s="3"/>
      <c r="U79" s="3"/>
      <c r="V79" s="3"/>
      <c r="W79" s="15"/>
      <c r="X79" s="23"/>
      <c r="Y79" s="3"/>
      <c r="Z79" s="3"/>
      <c r="AA79" s="3"/>
      <c r="AB79" s="24"/>
      <c r="AC79" s="19"/>
      <c r="AD79" s="3"/>
      <c r="AE79" s="3"/>
      <c r="AF79" s="3"/>
      <c r="AG79" s="15"/>
      <c r="AH79" s="33"/>
    </row>
    <row r="80" spans="2:34" x14ac:dyDescent="0.4">
      <c r="B80" s="23">
        <f>ID!B80</f>
        <v>0</v>
      </c>
      <c r="C80" s="24" t="str">
        <f>ID!C80</f>
        <v>平野 七海</v>
      </c>
      <c r="D80" s="23"/>
      <c r="E80" s="3"/>
      <c r="F80" s="3"/>
      <c r="G80" s="3"/>
      <c r="H80" s="24"/>
      <c r="I80" s="19"/>
      <c r="J80" s="3"/>
      <c r="K80" s="3"/>
      <c r="L80" s="3"/>
      <c r="M80" s="15"/>
      <c r="N80" s="23"/>
      <c r="O80" s="3"/>
      <c r="P80" s="3"/>
      <c r="Q80" s="3"/>
      <c r="R80" s="24"/>
      <c r="S80" s="19"/>
      <c r="T80" s="3"/>
      <c r="U80" s="3"/>
      <c r="V80" s="3"/>
      <c r="W80" s="15"/>
      <c r="X80" s="23"/>
      <c r="Y80" s="3"/>
      <c r="Z80" s="3"/>
      <c r="AA80" s="3"/>
      <c r="AB80" s="24"/>
      <c r="AC80" s="19"/>
      <c r="AD80" s="3"/>
      <c r="AE80" s="3"/>
      <c r="AF80" s="3"/>
      <c r="AG80" s="15"/>
      <c r="AH80" s="33"/>
    </row>
    <row r="81" spans="2:34" x14ac:dyDescent="0.4">
      <c r="B81" s="23">
        <f>ID!B81</f>
        <v>0</v>
      </c>
      <c r="C81" s="24" t="str">
        <f>ID!C81</f>
        <v>栗澤 杏子</v>
      </c>
      <c r="D81" s="23"/>
      <c r="E81" s="3"/>
      <c r="F81" s="3"/>
      <c r="G81" s="3"/>
      <c r="H81" s="24"/>
      <c r="I81" s="19"/>
      <c r="J81" s="3"/>
      <c r="K81" s="3"/>
      <c r="L81" s="3"/>
      <c r="M81" s="15"/>
      <c r="N81" s="23"/>
      <c r="O81" s="3"/>
      <c r="P81" s="3"/>
      <c r="Q81" s="3"/>
      <c r="R81" s="24"/>
      <c r="S81" s="19"/>
      <c r="T81" s="3"/>
      <c r="U81" s="3"/>
      <c r="V81" s="3"/>
      <c r="W81" s="15"/>
      <c r="X81" s="23"/>
      <c r="Y81" s="3"/>
      <c r="Z81" s="3"/>
      <c r="AA81" s="3"/>
      <c r="AB81" s="24"/>
      <c r="AC81" s="19"/>
      <c r="AD81" s="3"/>
      <c r="AE81" s="3"/>
      <c r="AF81" s="3"/>
      <c r="AG81" s="15"/>
      <c r="AH81" s="33"/>
    </row>
    <row r="82" spans="2:34" x14ac:dyDescent="0.4">
      <c r="B82" s="23">
        <f>ID!B82</f>
        <v>0</v>
      </c>
      <c r="C82" s="24" t="str">
        <f>ID!C82</f>
        <v>東雲 南実</v>
      </c>
      <c r="D82" s="23"/>
      <c r="E82" s="3"/>
      <c r="F82" s="3"/>
      <c r="G82" s="3"/>
      <c r="H82" s="24"/>
      <c r="I82" s="19"/>
      <c r="J82" s="3"/>
      <c r="K82" s="3"/>
      <c r="L82" s="3"/>
      <c r="M82" s="15"/>
      <c r="N82" s="23"/>
      <c r="O82" s="3"/>
      <c r="P82" s="3"/>
      <c r="Q82" s="3"/>
      <c r="R82" s="24"/>
      <c r="S82" s="19"/>
      <c r="T82" s="3"/>
      <c r="U82" s="3"/>
      <c r="V82" s="3"/>
      <c r="W82" s="15"/>
      <c r="X82" s="23"/>
      <c r="Y82" s="3"/>
      <c r="Z82" s="3"/>
      <c r="AA82" s="3"/>
      <c r="AB82" s="24"/>
      <c r="AC82" s="19"/>
      <c r="AD82" s="3"/>
      <c r="AE82" s="3"/>
      <c r="AF82" s="3"/>
      <c r="AG82" s="15"/>
      <c r="AH82" s="33"/>
    </row>
    <row r="83" spans="2:34" x14ac:dyDescent="0.4">
      <c r="B83" s="23">
        <f>ID!B83</f>
        <v>0</v>
      </c>
      <c r="C83" s="24" t="str">
        <f>ID!C83</f>
        <v>小川 さりな</v>
      </c>
      <c r="D83" s="23"/>
      <c r="E83" s="3"/>
      <c r="F83" s="3"/>
      <c r="G83" s="3"/>
      <c r="H83" s="24"/>
      <c r="I83" s="19"/>
      <c r="J83" s="3"/>
      <c r="K83" s="3"/>
      <c r="L83" s="3"/>
      <c r="M83" s="15"/>
      <c r="N83" s="23"/>
      <c r="O83" s="3"/>
      <c r="P83" s="3"/>
      <c r="Q83" s="3"/>
      <c r="R83" s="24"/>
      <c r="S83" s="19"/>
      <c r="T83" s="3"/>
      <c r="U83" s="3"/>
      <c r="V83" s="3"/>
      <c r="W83" s="15"/>
      <c r="X83" s="23"/>
      <c r="Y83" s="3"/>
      <c r="Z83" s="3"/>
      <c r="AA83" s="3"/>
      <c r="AB83" s="24"/>
      <c r="AC83" s="19"/>
      <c r="AD83" s="3"/>
      <c r="AE83" s="3"/>
      <c r="AF83" s="3"/>
      <c r="AG83" s="15"/>
      <c r="AH83" s="33"/>
    </row>
    <row r="84" spans="2:34" x14ac:dyDescent="0.4">
      <c r="B84" s="23">
        <f>ID!B84</f>
        <v>0</v>
      </c>
      <c r="C84" s="24" t="str">
        <f>ID!C84</f>
        <v>小川 怜子</v>
      </c>
      <c r="D84" s="23"/>
      <c r="E84" s="3"/>
      <c r="F84" s="3"/>
      <c r="G84" s="3"/>
      <c r="H84" s="24"/>
      <c r="I84" s="19"/>
      <c r="J84" s="3"/>
      <c r="K84" s="3"/>
      <c r="L84" s="3"/>
      <c r="M84" s="15"/>
      <c r="N84" s="23"/>
      <c r="O84" s="3"/>
      <c r="P84" s="3"/>
      <c r="Q84" s="3"/>
      <c r="R84" s="24"/>
      <c r="S84" s="19"/>
      <c r="T84" s="3"/>
      <c r="U84" s="3"/>
      <c r="V84" s="3"/>
      <c r="W84" s="15"/>
      <c r="X84" s="23"/>
      <c r="Y84" s="3"/>
      <c r="Z84" s="3"/>
      <c r="AA84" s="3"/>
      <c r="AB84" s="24"/>
      <c r="AC84" s="19"/>
      <c r="AD84" s="3"/>
      <c r="AE84" s="3"/>
      <c r="AF84" s="3"/>
      <c r="AG84" s="15"/>
      <c r="AH84" s="33"/>
    </row>
    <row r="85" spans="2:34" x14ac:dyDescent="0.4">
      <c r="B85" s="23">
        <f>ID!B85</f>
        <v>0</v>
      </c>
      <c r="C85" s="24" t="str">
        <f>ID!C85</f>
        <v>杉内 あかり</v>
      </c>
      <c r="D85" s="23"/>
      <c r="E85" s="3"/>
      <c r="F85" s="3"/>
      <c r="G85" s="3"/>
      <c r="H85" s="24"/>
      <c r="I85" s="19"/>
      <c r="J85" s="3"/>
      <c r="K85" s="3"/>
      <c r="L85" s="3"/>
      <c r="M85" s="15"/>
      <c r="N85" s="23"/>
      <c r="O85" s="3"/>
      <c r="P85" s="3"/>
      <c r="Q85" s="3"/>
      <c r="R85" s="24"/>
      <c r="S85" s="19"/>
      <c r="T85" s="3"/>
      <c r="U85" s="3"/>
      <c r="V85" s="3"/>
      <c r="W85" s="15"/>
      <c r="X85" s="23"/>
      <c r="Y85" s="3"/>
      <c r="Z85" s="3"/>
      <c r="AA85" s="3"/>
      <c r="AB85" s="24"/>
      <c r="AC85" s="19"/>
      <c r="AD85" s="3"/>
      <c r="AE85" s="3"/>
      <c r="AF85" s="3"/>
      <c r="AG85" s="15"/>
      <c r="AH85" s="33"/>
    </row>
    <row r="86" spans="2:34" x14ac:dyDescent="0.4">
      <c r="B86" s="23">
        <f>ID!B86</f>
        <v>0</v>
      </c>
      <c r="C86" s="24" t="str">
        <f>ID!C86</f>
        <v>黒河 邦彌</v>
      </c>
      <c r="D86" s="23"/>
      <c r="E86" s="3"/>
      <c r="F86" s="3"/>
      <c r="G86" s="3"/>
      <c r="H86" s="24"/>
      <c r="I86" s="19"/>
      <c r="J86" s="3"/>
      <c r="K86" s="3"/>
      <c r="L86" s="3"/>
      <c r="M86" s="15"/>
      <c r="N86" s="23"/>
      <c r="O86" s="3"/>
      <c r="P86" s="3"/>
      <c r="Q86" s="3"/>
      <c r="R86" s="24"/>
      <c r="S86" s="19"/>
      <c r="T86" s="3"/>
      <c r="U86" s="3"/>
      <c r="V86" s="3"/>
      <c r="W86" s="15"/>
      <c r="X86" s="23"/>
      <c r="Y86" s="3"/>
      <c r="Z86" s="3"/>
      <c r="AA86" s="3"/>
      <c r="AB86" s="24"/>
      <c r="AC86" s="19"/>
      <c r="AD86" s="3"/>
      <c r="AE86" s="3"/>
      <c r="AF86" s="3"/>
      <c r="AG86" s="15"/>
      <c r="AH86" s="33"/>
    </row>
    <row r="87" spans="2:34" x14ac:dyDescent="0.4">
      <c r="B87" s="23">
        <f>ID!B87</f>
        <v>0</v>
      </c>
      <c r="C87" s="24" t="str">
        <f>ID!C87</f>
        <v>佐藤 翔治</v>
      </c>
      <c r="D87" s="23"/>
      <c r="E87" s="3"/>
      <c r="F87" s="3"/>
      <c r="G87" s="3"/>
      <c r="H87" s="24"/>
      <c r="I87" s="19"/>
      <c r="J87" s="3"/>
      <c r="K87" s="3"/>
      <c r="L87" s="3"/>
      <c r="M87" s="15"/>
      <c r="N87" s="23"/>
      <c r="O87" s="3"/>
      <c r="P87" s="3"/>
      <c r="Q87" s="3"/>
      <c r="R87" s="24"/>
      <c r="S87" s="19"/>
      <c r="T87" s="3"/>
      <c r="U87" s="3"/>
      <c r="V87" s="3"/>
      <c r="W87" s="15"/>
      <c r="X87" s="23"/>
      <c r="Y87" s="3"/>
      <c r="Z87" s="3"/>
      <c r="AA87" s="3"/>
      <c r="AB87" s="24"/>
      <c r="AC87" s="19"/>
      <c r="AD87" s="3"/>
      <c r="AE87" s="3"/>
      <c r="AF87" s="3"/>
      <c r="AG87" s="15"/>
      <c r="AH87" s="33"/>
    </row>
    <row r="88" spans="2:34" x14ac:dyDescent="0.4">
      <c r="B88" s="23">
        <f>ID!B88</f>
        <v>0</v>
      </c>
      <c r="C88" s="24" t="str">
        <f>ID!C88</f>
        <v>林 毅</v>
      </c>
      <c r="D88" s="23"/>
      <c r="E88" s="3"/>
      <c r="F88" s="3"/>
      <c r="G88" s="3"/>
      <c r="H88" s="24"/>
      <c r="I88" s="19"/>
      <c r="J88" s="3"/>
      <c r="K88" s="3"/>
      <c r="L88" s="3"/>
      <c r="M88" s="15"/>
      <c r="N88" s="23"/>
      <c r="O88" s="3"/>
      <c r="P88" s="3"/>
      <c r="Q88" s="3"/>
      <c r="R88" s="24"/>
      <c r="S88" s="19"/>
      <c r="T88" s="3"/>
      <c r="U88" s="3"/>
      <c r="V88" s="3"/>
      <c r="W88" s="15"/>
      <c r="X88" s="23"/>
      <c r="Y88" s="3"/>
      <c r="Z88" s="3"/>
      <c r="AA88" s="3"/>
      <c r="AB88" s="24"/>
      <c r="AC88" s="19"/>
      <c r="AD88" s="3"/>
      <c r="AE88" s="3"/>
      <c r="AF88" s="3"/>
      <c r="AG88" s="15"/>
      <c r="AH88" s="33"/>
    </row>
    <row r="89" spans="2:34" x14ac:dyDescent="0.4">
      <c r="B89" s="23">
        <f>ID!B89</f>
        <v>0</v>
      </c>
      <c r="C89" s="24" t="str">
        <f>ID!C89</f>
        <v>中村 和音</v>
      </c>
      <c r="D89" s="23"/>
      <c r="E89" s="3"/>
      <c r="F89" s="3"/>
      <c r="G89" s="3"/>
      <c r="H89" s="24"/>
      <c r="I89" s="19"/>
      <c r="J89" s="3"/>
      <c r="K89" s="3"/>
      <c r="L89" s="3"/>
      <c r="M89" s="15"/>
      <c r="N89" s="23"/>
      <c r="O89" s="3"/>
      <c r="P89" s="3"/>
      <c r="Q89" s="3"/>
      <c r="R89" s="24"/>
      <c r="S89" s="19"/>
      <c r="T89" s="3"/>
      <c r="U89" s="3"/>
      <c r="V89" s="3"/>
      <c r="W89" s="15"/>
      <c r="X89" s="23"/>
      <c r="Y89" s="3"/>
      <c r="Z89" s="3"/>
      <c r="AA89" s="3"/>
      <c r="AB89" s="24"/>
      <c r="AC89" s="19"/>
      <c r="AD89" s="3"/>
      <c r="AE89" s="3"/>
      <c r="AF89" s="3"/>
      <c r="AG89" s="15"/>
      <c r="AH89" s="33"/>
    </row>
    <row r="90" spans="2:34" x14ac:dyDescent="0.4">
      <c r="B90" s="23">
        <f>ID!B90</f>
        <v>0</v>
      </c>
      <c r="C90" s="24" t="str">
        <f>ID!C90</f>
        <v>伊東 結夏</v>
      </c>
      <c r="D90" s="23"/>
      <c r="E90" s="3"/>
      <c r="F90" s="3"/>
      <c r="G90" s="3"/>
      <c r="H90" s="24"/>
      <c r="I90" s="19"/>
      <c r="J90" s="3"/>
      <c r="K90" s="3"/>
      <c r="L90" s="3"/>
      <c r="M90" s="15"/>
      <c r="N90" s="23"/>
      <c r="O90" s="3"/>
      <c r="P90" s="3"/>
      <c r="Q90" s="3"/>
      <c r="R90" s="24"/>
      <c r="S90" s="19"/>
      <c r="T90" s="3"/>
      <c r="U90" s="3"/>
      <c r="V90" s="3"/>
      <c r="W90" s="15"/>
      <c r="X90" s="23"/>
      <c r="Y90" s="3"/>
      <c r="Z90" s="3"/>
      <c r="AA90" s="3"/>
      <c r="AB90" s="24"/>
      <c r="AC90" s="19"/>
      <c r="AD90" s="3"/>
      <c r="AE90" s="3"/>
      <c r="AF90" s="3"/>
      <c r="AG90" s="15"/>
      <c r="AH90" s="33"/>
    </row>
    <row r="91" spans="2:34" x14ac:dyDescent="0.4">
      <c r="B91" s="23">
        <f>ID!B91</f>
        <v>0</v>
      </c>
      <c r="C91" s="24" t="str">
        <f>ID!C91</f>
        <v>古屋 克弘</v>
      </c>
      <c r="D91" s="23"/>
      <c r="E91" s="3"/>
      <c r="F91" s="3"/>
      <c r="G91" s="3"/>
      <c r="H91" s="24"/>
      <c r="I91" s="19"/>
      <c r="J91" s="3"/>
      <c r="K91" s="3"/>
      <c r="L91" s="3"/>
      <c r="M91" s="15"/>
      <c r="N91" s="23"/>
      <c r="O91" s="3"/>
      <c r="P91" s="3"/>
      <c r="Q91" s="3"/>
      <c r="R91" s="24"/>
      <c r="S91" s="19"/>
      <c r="T91" s="3"/>
      <c r="U91" s="3"/>
      <c r="V91" s="3"/>
      <c r="W91" s="15"/>
      <c r="X91" s="23"/>
      <c r="Y91" s="3"/>
      <c r="Z91" s="3"/>
      <c r="AA91" s="3"/>
      <c r="AB91" s="24"/>
      <c r="AC91" s="19"/>
      <c r="AD91" s="3"/>
      <c r="AE91" s="3"/>
      <c r="AF91" s="3"/>
      <c r="AG91" s="15"/>
      <c r="AH91" s="33"/>
    </row>
    <row r="92" spans="2:34" x14ac:dyDescent="0.4">
      <c r="B92" s="23">
        <f>ID!B92</f>
        <v>0</v>
      </c>
      <c r="C92" s="24" t="str">
        <f>ID!C92</f>
        <v>後藤 友貴哉</v>
      </c>
      <c r="D92" s="23"/>
      <c r="E92" s="3"/>
      <c r="F92" s="3"/>
      <c r="G92" s="3"/>
      <c r="H92" s="24"/>
      <c r="I92" s="19"/>
      <c r="J92" s="3"/>
      <c r="K92" s="3"/>
      <c r="L92" s="3"/>
      <c r="M92" s="15"/>
      <c r="N92" s="23"/>
      <c r="O92" s="3"/>
      <c r="P92" s="3"/>
      <c r="Q92" s="3"/>
      <c r="R92" s="24"/>
      <c r="S92" s="19"/>
      <c r="T92" s="3"/>
      <c r="U92" s="3"/>
      <c r="V92" s="3"/>
      <c r="W92" s="15"/>
      <c r="X92" s="23"/>
      <c r="Y92" s="3"/>
      <c r="Z92" s="3"/>
      <c r="AA92" s="3"/>
      <c r="AB92" s="24"/>
      <c r="AC92" s="19"/>
      <c r="AD92" s="3"/>
      <c r="AE92" s="3"/>
      <c r="AF92" s="3"/>
      <c r="AG92" s="15"/>
      <c r="AH92" s="33"/>
    </row>
    <row r="93" spans="2:34" x14ac:dyDescent="0.4">
      <c r="B93" s="23">
        <f>ID!B93</f>
        <v>0</v>
      </c>
      <c r="C93" s="24" t="str">
        <f>ID!C93</f>
        <v>池野 一輝</v>
      </c>
      <c r="D93" s="23"/>
      <c r="E93" s="3"/>
      <c r="F93" s="3"/>
      <c r="G93" s="3"/>
      <c r="H93" s="24"/>
      <c r="I93" s="19"/>
      <c r="J93" s="3"/>
      <c r="K93" s="3"/>
      <c r="L93" s="3"/>
      <c r="M93" s="15"/>
      <c r="N93" s="23"/>
      <c r="O93" s="3"/>
      <c r="P93" s="3"/>
      <c r="Q93" s="3"/>
      <c r="R93" s="24"/>
      <c r="S93" s="19"/>
      <c r="T93" s="3"/>
      <c r="U93" s="3"/>
      <c r="V93" s="3"/>
      <c r="W93" s="15"/>
      <c r="X93" s="23"/>
      <c r="Y93" s="3"/>
      <c r="Z93" s="3"/>
      <c r="AA93" s="3"/>
      <c r="AB93" s="24"/>
      <c r="AC93" s="19"/>
      <c r="AD93" s="3"/>
      <c r="AE93" s="3"/>
      <c r="AF93" s="3"/>
      <c r="AG93" s="15"/>
      <c r="AH93" s="33"/>
    </row>
    <row r="94" spans="2:34" x14ac:dyDescent="0.4">
      <c r="B94" s="23">
        <f>ID!B94</f>
        <v>0</v>
      </c>
      <c r="C94" s="24" t="str">
        <f>ID!C94</f>
        <v>及川 裕次郎</v>
      </c>
      <c r="D94" s="23"/>
      <c r="E94" s="3"/>
      <c r="F94" s="3"/>
      <c r="G94" s="3"/>
      <c r="H94" s="24"/>
      <c r="I94" s="19"/>
      <c r="J94" s="3"/>
      <c r="K94" s="3"/>
      <c r="L94" s="3"/>
      <c r="M94" s="15"/>
      <c r="N94" s="23"/>
      <c r="O94" s="3"/>
      <c r="P94" s="3"/>
      <c r="Q94" s="3"/>
      <c r="R94" s="24"/>
      <c r="S94" s="19"/>
      <c r="T94" s="3"/>
      <c r="U94" s="3"/>
      <c r="V94" s="3"/>
      <c r="W94" s="15"/>
      <c r="X94" s="23"/>
      <c r="Y94" s="3"/>
      <c r="Z94" s="3"/>
      <c r="AA94" s="3"/>
      <c r="AB94" s="24"/>
      <c r="AC94" s="19"/>
      <c r="AD94" s="3"/>
      <c r="AE94" s="3"/>
      <c r="AF94" s="3"/>
      <c r="AG94" s="15"/>
      <c r="AH94" s="33"/>
    </row>
    <row r="95" spans="2:34" x14ac:dyDescent="0.4">
      <c r="B95" s="23">
        <f>ID!B95</f>
        <v>0</v>
      </c>
      <c r="C95" s="24" t="str">
        <f>ID!C95</f>
        <v>和田 康明</v>
      </c>
      <c r="D95" s="23"/>
      <c r="E95" s="3"/>
      <c r="F95" s="3"/>
      <c r="G95" s="3"/>
      <c r="H95" s="24"/>
      <c r="I95" s="19"/>
      <c r="J95" s="3"/>
      <c r="K95" s="3"/>
      <c r="L95" s="3"/>
      <c r="M95" s="15"/>
      <c r="N95" s="23"/>
      <c r="O95" s="3"/>
      <c r="P95" s="3"/>
      <c r="Q95" s="3"/>
      <c r="R95" s="24"/>
      <c r="S95" s="19"/>
      <c r="T95" s="3"/>
      <c r="U95" s="3"/>
      <c r="V95" s="3"/>
      <c r="W95" s="15"/>
      <c r="X95" s="23"/>
      <c r="Y95" s="3"/>
      <c r="Z95" s="3"/>
      <c r="AA95" s="3"/>
      <c r="AB95" s="24"/>
      <c r="AC95" s="19"/>
      <c r="AD95" s="3"/>
      <c r="AE95" s="3"/>
      <c r="AF95" s="3"/>
      <c r="AG95" s="15"/>
      <c r="AH95" s="33"/>
    </row>
    <row r="96" spans="2:34" x14ac:dyDescent="0.4">
      <c r="B96" s="23">
        <f>ID!B96</f>
        <v>0</v>
      </c>
      <c r="C96" s="24" t="str">
        <f>ID!C96</f>
        <v>清水 泰輔</v>
      </c>
      <c r="D96" s="23"/>
      <c r="E96" s="3"/>
      <c r="F96" s="3"/>
      <c r="G96" s="3"/>
      <c r="H96" s="24"/>
      <c r="I96" s="19"/>
      <c r="J96" s="3"/>
      <c r="K96" s="3"/>
      <c r="L96" s="3"/>
      <c r="M96" s="15"/>
      <c r="N96" s="23"/>
      <c r="O96" s="3"/>
      <c r="P96" s="3"/>
      <c r="Q96" s="3"/>
      <c r="R96" s="24"/>
      <c r="S96" s="19"/>
      <c r="T96" s="3"/>
      <c r="U96" s="3"/>
      <c r="V96" s="3"/>
      <c r="W96" s="15"/>
      <c r="X96" s="23"/>
      <c r="Y96" s="3"/>
      <c r="Z96" s="3"/>
      <c r="AA96" s="3"/>
      <c r="AB96" s="24"/>
      <c r="AC96" s="19"/>
      <c r="AD96" s="3"/>
      <c r="AE96" s="3"/>
      <c r="AF96" s="3"/>
      <c r="AG96" s="15"/>
      <c r="AH96" s="33"/>
    </row>
    <row r="97" spans="2:34" x14ac:dyDescent="0.4">
      <c r="B97" s="23">
        <f>ID!B97</f>
        <v>0</v>
      </c>
      <c r="C97" s="24" t="str">
        <f>ID!C97</f>
        <v>杉原 沙菜</v>
      </c>
      <c r="D97" s="23"/>
      <c r="E97" s="3"/>
      <c r="F97" s="3"/>
      <c r="G97" s="3"/>
      <c r="H97" s="24"/>
      <c r="I97" s="19"/>
      <c r="J97" s="3"/>
      <c r="K97" s="3"/>
      <c r="L97" s="3"/>
      <c r="M97" s="15"/>
      <c r="N97" s="23"/>
      <c r="O97" s="3"/>
      <c r="P97" s="3"/>
      <c r="Q97" s="3"/>
      <c r="R97" s="24"/>
      <c r="S97" s="19"/>
      <c r="T97" s="3"/>
      <c r="U97" s="3"/>
      <c r="V97" s="3"/>
      <c r="W97" s="15"/>
      <c r="X97" s="23"/>
      <c r="Y97" s="3"/>
      <c r="Z97" s="3"/>
      <c r="AA97" s="3"/>
      <c r="AB97" s="24"/>
      <c r="AC97" s="19"/>
      <c r="AD97" s="3"/>
      <c r="AE97" s="3"/>
      <c r="AF97" s="3"/>
      <c r="AG97" s="15"/>
      <c r="AH97" s="33"/>
    </row>
    <row r="98" spans="2:34" x14ac:dyDescent="0.4">
      <c r="B98" s="23">
        <f>ID!B98</f>
        <v>0</v>
      </c>
      <c r="C98" s="24" t="str">
        <f>ID!C98</f>
        <v>横山 悠太</v>
      </c>
      <c r="D98" s="23"/>
      <c r="E98" s="3"/>
      <c r="F98" s="3"/>
      <c r="G98" s="3"/>
      <c r="H98" s="24"/>
      <c r="I98" s="19"/>
      <c r="J98" s="3"/>
      <c r="K98" s="3"/>
      <c r="L98" s="3"/>
      <c r="M98" s="15"/>
      <c r="N98" s="23"/>
      <c r="O98" s="3"/>
      <c r="P98" s="3"/>
      <c r="Q98" s="3"/>
      <c r="R98" s="24"/>
      <c r="S98" s="19"/>
      <c r="T98" s="3"/>
      <c r="U98" s="3"/>
      <c r="V98" s="3"/>
      <c r="W98" s="15"/>
      <c r="X98" s="23"/>
      <c r="Y98" s="3"/>
      <c r="Z98" s="3"/>
      <c r="AA98" s="3"/>
      <c r="AB98" s="24"/>
      <c r="AC98" s="19"/>
      <c r="AD98" s="3"/>
      <c r="AE98" s="3"/>
      <c r="AF98" s="3"/>
      <c r="AG98" s="15"/>
      <c r="AH98" s="33"/>
    </row>
    <row r="99" spans="2:34" x14ac:dyDescent="0.4">
      <c r="B99" s="23">
        <f>ID!B99</f>
        <v>0</v>
      </c>
      <c r="C99" s="24" t="str">
        <f>ID!C99</f>
        <v>浦島 修</v>
      </c>
      <c r="D99" s="23"/>
      <c r="E99" s="3"/>
      <c r="F99" s="3"/>
      <c r="G99" s="3"/>
      <c r="H99" s="24"/>
      <c r="I99" s="19"/>
      <c r="J99" s="3"/>
      <c r="K99" s="3"/>
      <c r="L99" s="3"/>
      <c r="M99" s="15"/>
      <c r="N99" s="23"/>
      <c r="O99" s="3"/>
      <c r="P99" s="3"/>
      <c r="Q99" s="3"/>
      <c r="R99" s="24"/>
      <c r="S99" s="19"/>
      <c r="T99" s="3"/>
      <c r="U99" s="3"/>
      <c r="V99" s="3"/>
      <c r="W99" s="15"/>
      <c r="X99" s="23"/>
      <c r="Y99" s="3"/>
      <c r="Z99" s="3"/>
      <c r="AA99" s="3"/>
      <c r="AB99" s="24"/>
      <c r="AC99" s="19"/>
      <c r="AD99" s="3"/>
      <c r="AE99" s="3"/>
      <c r="AF99" s="3"/>
      <c r="AG99" s="15"/>
      <c r="AH99" s="33"/>
    </row>
    <row r="100" spans="2:34" x14ac:dyDescent="0.4">
      <c r="B100" s="23">
        <f>ID!B100</f>
        <v>0</v>
      </c>
      <c r="C100" s="24" t="str">
        <f>ID!C100</f>
        <v>伊藤 哲三</v>
      </c>
      <c r="D100" s="23"/>
      <c r="E100" s="3"/>
      <c r="F100" s="3"/>
      <c r="G100" s="3"/>
      <c r="H100" s="24"/>
      <c r="I100" s="19"/>
      <c r="J100" s="3"/>
      <c r="K100" s="3"/>
      <c r="L100" s="3"/>
      <c r="M100" s="15"/>
      <c r="N100" s="23"/>
      <c r="O100" s="3"/>
      <c r="P100" s="3"/>
      <c r="Q100" s="3"/>
      <c r="R100" s="24"/>
      <c r="S100" s="19"/>
      <c r="T100" s="3"/>
      <c r="U100" s="3"/>
      <c r="V100" s="3"/>
      <c r="W100" s="15"/>
      <c r="X100" s="23"/>
      <c r="Y100" s="3"/>
      <c r="Z100" s="3"/>
      <c r="AA100" s="3"/>
      <c r="AB100" s="24"/>
      <c r="AC100" s="19"/>
      <c r="AD100" s="3"/>
      <c r="AE100" s="3"/>
      <c r="AF100" s="3"/>
      <c r="AG100" s="15"/>
      <c r="AH100" s="33"/>
    </row>
    <row r="101" spans="2:34" x14ac:dyDescent="0.4">
      <c r="B101" s="23">
        <f>ID!B101</f>
        <v>0</v>
      </c>
      <c r="C101" s="24" t="str">
        <f>ID!C101</f>
        <v>堀江 みなみ</v>
      </c>
      <c r="D101" s="23"/>
      <c r="E101" s="3"/>
      <c r="F101" s="3"/>
      <c r="G101" s="3"/>
      <c r="H101" s="24"/>
      <c r="I101" s="19"/>
      <c r="J101" s="3"/>
      <c r="K101" s="3"/>
      <c r="L101" s="3"/>
      <c r="M101" s="15"/>
      <c r="N101" s="23"/>
      <c r="O101" s="3"/>
      <c r="P101" s="3"/>
      <c r="Q101" s="3"/>
      <c r="R101" s="24"/>
      <c r="S101" s="19"/>
      <c r="T101" s="3"/>
      <c r="U101" s="3"/>
      <c r="V101" s="3"/>
      <c r="W101" s="15"/>
      <c r="X101" s="23"/>
      <c r="Y101" s="3"/>
      <c r="Z101" s="3"/>
      <c r="AA101" s="3"/>
      <c r="AB101" s="24"/>
      <c r="AC101" s="19"/>
      <c r="AD101" s="3"/>
      <c r="AE101" s="3"/>
      <c r="AF101" s="3"/>
      <c r="AG101" s="15"/>
      <c r="AH101" s="33"/>
    </row>
    <row r="102" spans="2:34" x14ac:dyDescent="0.4">
      <c r="B102" s="23">
        <f>ID!B102</f>
        <v>0</v>
      </c>
      <c r="C102" s="24" t="str">
        <f>ID!C102</f>
        <v>松原 那奈</v>
      </c>
      <c r="D102" s="23"/>
      <c r="E102" s="3"/>
      <c r="F102" s="3"/>
      <c r="G102" s="3"/>
      <c r="H102" s="24"/>
      <c r="I102" s="19"/>
      <c r="J102" s="3"/>
      <c r="K102" s="3"/>
      <c r="L102" s="3"/>
      <c r="M102" s="15"/>
      <c r="N102" s="23"/>
      <c r="O102" s="3"/>
      <c r="P102" s="3"/>
      <c r="Q102" s="3"/>
      <c r="R102" s="24"/>
      <c r="S102" s="19"/>
      <c r="T102" s="3"/>
      <c r="U102" s="3"/>
      <c r="V102" s="3"/>
      <c r="W102" s="15"/>
      <c r="X102" s="23"/>
      <c r="Y102" s="3"/>
      <c r="Z102" s="3"/>
      <c r="AA102" s="3"/>
      <c r="AB102" s="24"/>
      <c r="AC102" s="19"/>
      <c r="AD102" s="3"/>
      <c r="AE102" s="3"/>
      <c r="AF102" s="3"/>
      <c r="AG102" s="15"/>
      <c r="AH102" s="33"/>
    </row>
    <row r="103" spans="2:34" x14ac:dyDescent="0.4">
      <c r="B103" s="23">
        <f>ID!B103</f>
        <v>0</v>
      </c>
      <c r="C103" s="24" t="str">
        <f>ID!C103</f>
        <v>須田 希昇</v>
      </c>
      <c r="D103" s="23"/>
      <c r="E103" s="3"/>
      <c r="F103" s="3"/>
      <c r="G103" s="3"/>
      <c r="H103" s="24"/>
      <c r="I103" s="19"/>
      <c r="J103" s="3"/>
      <c r="K103" s="3"/>
      <c r="L103" s="3"/>
      <c r="M103" s="15"/>
      <c r="N103" s="23"/>
      <c r="O103" s="3"/>
      <c r="P103" s="3"/>
      <c r="Q103" s="3"/>
      <c r="R103" s="24"/>
      <c r="S103" s="19"/>
      <c r="T103" s="3"/>
      <c r="U103" s="3"/>
      <c r="V103" s="3"/>
      <c r="W103" s="15"/>
      <c r="X103" s="23"/>
      <c r="Y103" s="3"/>
      <c r="Z103" s="3"/>
      <c r="AA103" s="3"/>
      <c r="AB103" s="24"/>
      <c r="AC103" s="19"/>
      <c r="AD103" s="3"/>
      <c r="AE103" s="3"/>
      <c r="AF103" s="3"/>
      <c r="AG103" s="15"/>
      <c r="AH103" s="33"/>
    </row>
    <row r="104" spans="2:34" x14ac:dyDescent="0.4">
      <c r="B104" s="23">
        <f>ID!B104</f>
        <v>0</v>
      </c>
      <c r="C104" s="24" t="str">
        <f>ID!C104</f>
        <v>船本 香菜子</v>
      </c>
      <c r="D104" s="23"/>
      <c r="E104" s="3"/>
      <c r="F104" s="3"/>
      <c r="G104" s="3"/>
      <c r="H104" s="24"/>
      <c r="I104" s="19"/>
      <c r="J104" s="3"/>
      <c r="K104" s="3"/>
      <c r="L104" s="3"/>
      <c r="M104" s="15"/>
      <c r="N104" s="23"/>
      <c r="O104" s="3"/>
      <c r="P104" s="3"/>
      <c r="Q104" s="3"/>
      <c r="R104" s="24"/>
      <c r="S104" s="19"/>
      <c r="T104" s="3"/>
      <c r="U104" s="3"/>
      <c r="V104" s="3"/>
      <c r="W104" s="15"/>
      <c r="X104" s="23"/>
      <c r="Y104" s="3"/>
      <c r="Z104" s="3"/>
      <c r="AA104" s="3"/>
      <c r="AB104" s="24"/>
      <c r="AC104" s="19"/>
      <c r="AD104" s="3"/>
      <c r="AE104" s="3"/>
      <c r="AF104" s="3"/>
      <c r="AG104" s="15"/>
      <c r="AH104" s="33"/>
    </row>
    <row r="105" spans="2:34" x14ac:dyDescent="0.4">
      <c r="B105" s="23">
        <f>ID!B105</f>
        <v>0</v>
      </c>
      <c r="C105" s="24" t="str">
        <f>ID!C105</f>
        <v>鈴木 勝成</v>
      </c>
      <c r="D105" s="23"/>
      <c r="E105" s="3"/>
      <c r="F105" s="3"/>
      <c r="G105" s="3"/>
      <c r="H105" s="24"/>
      <c r="I105" s="19"/>
      <c r="J105" s="3"/>
      <c r="K105" s="3"/>
      <c r="L105" s="3"/>
      <c r="M105" s="15"/>
      <c r="N105" s="23"/>
      <c r="O105" s="3"/>
      <c r="P105" s="3"/>
      <c r="Q105" s="3"/>
      <c r="R105" s="24"/>
      <c r="S105" s="19"/>
      <c r="T105" s="3"/>
      <c r="U105" s="3"/>
      <c r="V105" s="3"/>
      <c r="W105" s="15"/>
      <c r="X105" s="23"/>
      <c r="Y105" s="3"/>
      <c r="Z105" s="3"/>
      <c r="AA105" s="3"/>
      <c r="AB105" s="24"/>
      <c r="AC105" s="19"/>
      <c r="AD105" s="3"/>
      <c r="AE105" s="3"/>
      <c r="AF105" s="3"/>
      <c r="AG105" s="15"/>
      <c r="AH105" s="33"/>
    </row>
    <row r="106" spans="2:34" x14ac:dyDescent="0.4">
      <c r="B106" s="23">
        <f>ID!B106</f>
        <v>0</v>
      </c>
      <c r="C106" s="24" t="str">
        <f>ID!C106</f>
        <v>都 遼太郎</v>
      </c>
      <c r="D106" s="23"/>
      <c r="E106" s="3"/>
      <c r="F106" s="3"/>
      <c r="G106" s="3"/>
      <c r="H106" s="24"/>
      <c r="I106" s="19"/>
      <c r="J106" s="3"/>
      <c r="K106" s="3"/>
      <c r="L106" s="3"/>
      <c r="M106" s="15"/>
      <c r="N106" s="23"/>
      <c r="O106" s="3"/>
      <c r="P106" s="3"/>
      <c r="Q106" s="3"/>
      <c r="R106" s="24"/>
      <c r="S106" s="19"/>
      <c r="T106" s="3"/>
      <c r="U106" s="3"/>
      <c r="V106" s="3"/>
      <c r="W106" s="15"/>
      <c r="X106" s="23"/>
      <c r="Y106" s="3"/>
      <c r="Z106" s="3"/>
      <c r="AA106" s="3"/>
      <c r="AB106" s="24"/>
      <c r="AC106" s="19"/>
      <c r="AD106" s="3"/>
      <c r="AE106" s="3"/>
      <c r="AF106" s="3"/>
      <c r="AG106" s="15"/>
      <c r="AH106" s="33"/>
    </row>
    <row r="107" spans="2:34" x14ac:dyDescent="0.4">
      <c r="B107" s="23">
        <f>ID!B107</f>
        <v>0</v>
      </c>
      <c r="C107" s="24" t="str">
        <f>ID!C107</f>
        <v>木村 康平</v>
      </c>
      <c r="D107" s="23"/>
      <c r="E107" s="3"/>
      <c r="F107" s="3"/>
      <c r="G107" s="3"/>
      <c r="H107" s="24"/>
      <c r="I107" s="19"/>
      <c r="J107" s="3"/>
      <c r="K107" s="3"/>
      <c r="L107" s="3"/>
      <c r="M107" s="15"/>
      <c r="N107" s="23"/>
      <c r="O107" s="3"/>
      <c r="P107" s="3"/>
      <c r="Q107" s="3"/>
      <c r="R107" s="24"/>
      <c r="S107" s="19"/>
      <c r="T107" s="3"/>
      <c r="U107" s="3"/>
      <c r="V107" s="3"/>
      <c r="W107" s="15"/>
      <c r="X107" s="23"/>
      <c r="Y107" s="3"/>
      <c r="Z107" s="3"/>
      <c r="AA107" s="3"/>
      <c r="AB107" s="24"/>
      <c r="AC107" s="19"/>
      <c r="AD107" s="3"/>
      <c r="AE107" s="3"/>
      <c r="AF107" s="3"/>
      <c r="AG107" s="15"/>
      <c r="AH107" s="33"/>
    </row>
    <row r="108" spans="2:34" x14ac:dyDescent="0.4">
      <c r="B108" s="23">
        <f>ID!B108</f>
        <v>0</v>
      </c>
      <c r="C108" s="24" t="str">
        <f>ID!C108</f>
        <v>土橋 まこ</v>
      </c>
      <c r="D108" s="23"/>
      <c r="E108" s="3"/>
      <c r="F108" s="3"/>
      <c r="G108" s="3"/>
      <c r="H108" s="24"/>
      <c r="I108" s="19"/>
      <c r="J108" s="3"/>
      <c r="K108" s="3"/>
      <c r="L108" s="3"/>
      <c r="M108" s="15"/>
      <c r="N108" s="23"/>
      <c r="O108" s="3"/>
      <c r="P108" s="3"/>
      <c r="Q108" s="3"/>
      <c r="R108" s="24"/>
      <c r="S108" s="19"/>
      <c r="T108" s="3"/>
      <c r="U108" s="3"/>
      <c r="V108" s="3"/>
      <c r="W108" s="15"/>
      <c r="X108" s="23"/>
      <c r="Y108" s="3"/>
      <c r="Z108" s="3"/>
      <c r="AA108" s="3"/>
      <c r="AB108" s="24"/>
      <c r="AC108" s="19"/>
      <c r="AD108" s="3"/>
      <c r="AE108" s="3"/>
      <c r="AF108" s="3"/>
      <c r="AG108" s="15"/>
      <c r="AH108" s="33"/>
    </row>
    <row r="109" spans="2:34" x14ac:dyDescent="0.4">
      <c r="B109" s="23">
        <f>ID!B109</f>
        <v>0</v>
      </c>
      <c r="C109" s="24" t="str">
        <f>ID!C109</f>
        <v>三輪 克男</v>
      </c>
      <c r="D109" s="23"/>
      <c r="E109" s="3"/>
      <c r="F109" s="3"/>
      <c r="G109" s="3"/>
      <c r="H109" s="24"/>
      <c r="I109" s="19"/>
      <c r="J109" s="3"/>
      <c r="K109" s="3"/>
      <c r="L109" s="3"/>
      <c r="M109" s="15"/>
      <c r="N109" s="23"/>
      <c r="O109" s="3"/>
      <c r="P109" s="3"/>
      <c r="Q109" s="3"/>
      <c r="R109" s="24"/>
      <c r="S109" s="19"/>
      <c r="T109" s="3"/>
      <c r="U109" s="3"/>
      <c r="V109" s="3"/>
      <c r="W109" s="15"/>
      <c r="X109" s="23"/>
      <c r="Y109" s="3"/>
      <c r="Z109" s="3"/>
      <c r="AA109" s="3"/>
      <c r="AB109" s="24"/>
      <c r="AC109" s="19"/>
      <c r="AD109" s="3"/>
      <c r="AE109" s="3"/>
      <c r="AF109" s="3"/>
      <c r="AG109" s="15"/>
      <c r="AH109" s="33"/>
    </row>
    <row r="110" spans="2:34" x14ac:dyDescent="0.4">
      <c r="B110" s="23">
        <f>ID!B110</f>
        <v>0</v>
      </c>
      <c r="C110" s="24" t="str">
        <f>ID!C110</f>
        <v>松友 政夫</v>
      </c>
      <c r="D110" s="23"/>
      <c r="E110" s="3"/>
      <c r="F110" s="3"/>
      <c r="G110" s="3"/>
      <c r="H110" s="24"/>
      <c r="I110" s="19"/>
      <c r="J110" s="3"/>
      <c r="K110" s="3"/>
      <c r="L110" s="3"/>
      <c r="M110" s="15"/>
      <c r="N110" s="23"/>
      <c r="O110" s="3"/>
      <c r="P110" s="3"/>
      <c r="Q110" s="3"/>
      <c r="R110" s="24"/>
      <c r="S110" s="19"/>
      <c r="T110" s="3"/>
      <c r="U110" s="3"/>
      <c r="V110" s="3"/>
      <c r="W110" s="15"/>
      <c r="X110" s="23"/>
      <c r="Y110" s="3"/>
      <c r="Z110" s="3"/>
      <c r="AA110" s="3"/>
      <c r="AB110" s="24"/>
      <c r="AC110" s="19"/>
      <c r="AD110" s="3"/>
      <c r="AE110" s="3"/>
      <c r="AF110" s="3"/>
      <c r="AG110" s="15"/>
      <c r="AH110" s="33"/>
    </row>
    <row r="111" spans="2:34" x14ac:dyDescent="0.4">
      <c r="B111" s="23">
        <f>ID!B111</f>
        <v>0</v>
      </c>
      <c r="C111" s="24" t="str">
        <f>ID!C111</f>
        <v>鈴木 伸一</v>
      </c>
      <c r="D111" s="23"/>
      <c r="E111" s="3"/>
      <c r="F111" s="3"/>
      <c r="G111" s="3"/>
      <c r="H111" s="24"/>
      <c r="I111" s="19"/>
      <c r="J111" s="3"/>
      <c r="K111" s="3"/>
      <c r="L111" s="3"/>
      <c r="M111" s="15"/>
      <c r="N111" s="23"/>
      <c r="O111" s="3"/>
      <c r="P111" s="3"/>
      <c r="Q111" s="3"/>
      <c r="R111" s="24"/>
      <c r="S111" s="19"/>
      <c r="T111" s="3"/>
      <c r="U111" s="3"/>
      <c r="V111" s="3"/>
      <c r="W111" s="15"/>
      <c r="X111" s="23"/>
      <c r="Y111" s="3"/>
      <c r="Z111" s="3"/>
      <c r="AA111" s="3"/>
      <c r="AB111" s="24"/>
      <c r="AC111" s="19"/>
      <c r="AD111" s="3"/>
      <c r="AE111" s="3"/>
      <c r="AF111" s="3"/>
      <c r="AG111" s="15"/>
      <c r="AH111" s="33"/>
    </row>
    <row r="112" spans="2:34" x14ac:dyDescent="0.4">
      <c r="B112" s="23">
        <f>ID!B112</f>
        <v>0</v>
      </c>
      <c r="C112" s="24" t="str">
        <f>ID!C112</f>
        <v>堤 裕幸</v>
      </c>
      <c r="D112" s="23"/>
      <c r="E112" s="3"/>
      <c r="F112" s="3"/>
      <c r="G112" s="3"/>
      <c r="H112" s="24"/>
      <c r="I112" s="19"/>
      <c r="J112" s="3"/>
      <c r="K112" s="3"/>
      <c r="L112" s="3"/>
      <c r="M112" s="15"/>
      <c r="N112" s="23"/>
      <c r="O112" s="3"/>
      <c r="P112" s="3"/>
      <c r="Q112" s="3"/>
      <c r="R112" s="24"/>
      <c r="S112" s="19"/>
      <c r="T112" s="3"/>
      <c r="U112" s="3"/>
      <c r="V112" s="3"/>
      <c r="W112" s="15"/>
      <c r="X112" s="23"/>
      <c r="Y112" s="3"/>
      <c r="Z112" s="3"/>
      <c r="AA112" s="3"/>
      <c r="AB112" s="24"/>
      <c r="AC112" s="19"/>
      <c r="AD112" s="3"/>
      <c r="AE112" s="3"/>
      <c r="AF112" s="3"/>
      <c r="AG112" s="15"/>
      <c r="AH112" s="33"/>
    </row>
    <row r="113" spans="2:34" x14ac:dyDescent="0.4">
      <c r="B113" s="23">
        <f>ID!B113</f>
        <v>0</v>
      </c>
      <c r="C113" s="24" t="str">
        <f>ID!C113</f>
        <v>北原 一章</v>
      </c>
      <c r="D113" s="23"/>
      <c r="E113" s="3"/>
      <c r="F113" s="3"/>
      <c r="G113" s="3"/>
      <c r="H113" s="24"/>
      <c r="I113" s="19"/>
      <c r="J113" s="3"/>
      <c r="K113" s="3"/>
      <c r="L113" s="3"/>
      <c r="M113" s="15"/>
      <c r="N113" s="23"/>
      <c r="O113" s="3"/>
      <c r="P113" s="3"/>
      <c r="Q113" s="3"/>
      <c r="R113" s="24"/>
      <c r="S113" s="19"/>
      <c r="T113" s="3"/>
      <c r="U113" s="3"/>
      <c r="V113" s="3"/>
      <c r="W113" s="15"/>
      <c r="X113" s="23"/>
      <c r="Y113" s="3"/>
      <c r="Z113" s="3"/>
      <c r="AA113" s="3"/>
      <c r="AB113" s="24"/>
      <c r="AC113" s="19"/>
      <c r="AD113" s="3"/>
      <c r="AE113" s="3"/>
      <c r="AF113" s="3"/>
      <c r="AG113" s="15"/>
      <c r="AH113" s="33"/>
    </row>
    <row r="114" spans="2:34" x14ac:dyDescent="0.4">
      <c r="B114" s="23">
        <f>ID!B114</f>
        <v>0</v>
      </c>
      <c r="C114" s="24" t="str">
        <f>ID!C114</f>
        <v>比屋根 摩子</v>
      </c>
      <c r="D114" s="23"/>
      <c r="E114" s="3"/>
      <c r="F114" s="3"/>
      <c r="G114" s="3"/>
      <c r="H114" s="24"/>
      <c r="I114" s="19"/>
      <c r="J114" s="3"/>
      <c r="K114" s="3"/>
      <c r="L114" s="3"/>
      <c r="M114" s="15"/>
      <c r="N114" s="23"/>
      <c r="O114" s="3"/>
      <c r="P114" s="3"/>
      <c r="Q114" s="3"/>
      <c r="R114" s="24"/>
      <c r="S114" s="19"/>
      <c r="T114" s="3"/>
      <c r="U114" s="3"/>
      <c r="V114" s="3"/>
      <c r="W114" s="15"/>
      <c r="X114" s="23"/>
      <c r="Y114" s="3"/>
      <c r="Z114" s="3"/>
      <c r="AA114" s="3"/>
      <c r="AB114" s="24"/>
      <c r="AC114" s="19"/>
      <c r="AD114" s="3"/>
      <c r="AE114" s="3"/>
      <c r="AF114" s="3"/>
      <c r="AG114" s="15"/>
      <c r="AH114" s="33"/>
    </row>
    <row r="115" spans="2:34" x14ac:dyDescent="0.4">
      <c r="B115" s="23">
        <f>ID!B115</f>
        <v>0</v>
      </c>
      <c r="C115" s="24" t="str">
        <f>ID!C115</f>
        <v>竹内 渉</v>
      </c>
      <c r="D115" s="23"/>
      <c r="E115" s="3"/>
      <c r="F115" s="3"/>
      <c r="G115" s="3"/>
      <c r="H115" s="24"/>
      <c r="I115" s="19"/>
      <c r="J115" s="3"/>
      <c r="K115" s="3"/>
      <c r="L115" s="3"/>
      <c r="M115" s="15"/>
      <c r="N115" s="23"/>
      <c r="O115" s="3"/>
      <c r="P115" s="3"/>
      <c r="Q115" s="3"/>
      <c r="R115" s="24"/>
      <c r="S115" s="19"/>
      <c r="T115" s="3"/>
      <c r="U115" s="3"/>
      <c r="V115" s="3"/>
      <c r="W115" s="15"/>
      <c r="X115" s="23"/>
      <c r="Y115" s="3"/>
      <c r="Z115" s="3"/>
      <c r="AA115" s="3"/>
      <c r="AB115" s="24"/>
      <c r="AC115" s="19"/>
      <c r="AD115" s="3"/>
      <c r="AE115" s="3"/>
      <c r="AF115" s="3"/>
      <c r="AG115" s="15"/>
      <c r="AH115" s="33"/>
    </row>
    <row r="116" spans="2:34" x14ac:dyDescent="0.4">
      <c r="B116" s="23">
        <f>ID!B116</f>
        <v>0</v>
      </c>
      <c r="C116" s="24" t="str">
        <f>ID!C116</f>
        <v>渡辺 公平</v>
      </c>
      <c r="D116" s="23"/>
      <c r="E116" s="3"/>
      <c r="F116" s="3"/>
      <c r="G116" s="3"/>
      <c r="H116" s="24"/>
      <c r="I116" s="19"/>
      <c r="J116" s="3"/>
      <c r="K116" s="3"/>
      <c r="L116" s="3"/>
      <c r="M116" s="15"/>
      <c r="N116" s="23"/>
      <c r="O116" s="3"/>
      <c r="P116" s="3"/>
      <c r="Q116" s="3"/>
      <c r="R116" s="24"/>
      <c r="S116" s="19"/>
      <c r="T116" s="3"/>
      <c r="U116" s="3"/>
      <c r="V116" s="3"/>
      <c r="W116" s="15"/>
      <c r="X116" s="23"/>
      <c r="Y116" s="3"/>
      <c r="Z116" s="3"/>
      <c r="AA116" s="3"/>
      <c r="AB116" s="24"/>
      <c r="AC116" s="19"/>
      <c r="AD116" s="3"/>
      <c r="AE116" s="3"/>
      <c r="AF116" s="3"/>
      <c r="AG116" s="15"/>
      <c r="AH116" s="33"/>
    </row>
    <row r="117" spans="2:34" x14ac:dyDescent="0.4">
      <c r="B117" s="23">
        <f>ID!B117</f>
        <v>0</v>
      </c>
      <c r="C117" s="24" t="str">
        <f>ID!C117</f>
        <v>下田 幸造</v>
      </c>
      <c r="D117" s="23"/>
      <c r="E117" s="3"/>
      <c r="F117" s="3"/>
      <c r="G117" s="3"/>
      <c r="H117" s="24"/>
      <c r="I117" s="19"/>
      <c r="J117" s="3"/>
      <c r="K117" s="3"/>
      <c r="L117" s="3"/>
      <c r="M117" s="15"/>
      <c r="N117" s="23"/>
      <c r="O117" s="3"/>
      <c r="P117" s="3"/>
      <c r="Q117" s="3"/>
      <c r="R117" s="24"/>
      <c r="S117" s="19"/>
      <c r="T117" s="3"/>
      <c r="U117" s="3"/>
      <c r="V117" s="3"/>
      <c r="W117" s="15"/>
      <c r="X117" s="23"/>
      <c r="Y117" s="3"/>
      <c r="Z117" s="3"/>
      <c r="AA117" s="3"/>
      <c r="AB117" s="24"/>
      <c r="AC117" s="19"/>
      <c r="AD117" s="3"/>
      <c r="AE117" s="3"/>
      <c r="AF117" s="3"/>
      <c r="AG117" s="15"/>
      <c r="AH117" s="33"/>
    </row>
    <row r="118" spans="2:34" x14ac:dyDescent="0.4">
      <c r="B118" s="23">
        <f>ID!B118</f>
        <v>0</v>
      </c>
      <c r="C118" s="24" t="str">
        <f>ID!C118</f>
        <v>横山 勝利</v>
      </c>
      <c r="D118" s="23"/>
      <c r="E118" s="3"/>
      <c r="F118" s="3"/>
      <c r="G118" s="3"/>
      <c r="H118" s="24"/>
      <c r="I118" s="19"/>
      <c r="J118" s="3"/>
      <c r="K118" s="3"/>
      <c r="L118" s="3"/>
      <c r="M118" s="15"/>
      <c r="N118" s="23"/>
      <c r="O118" s="3"/>
      <c r="P118" s="3"/>
      <c r="Q118" s="3"/>
      <c r="R118" s="24"/>
      <c r="S118" s="19"/>
      <c r="T118" s="3"/>
      <c r="U118" s="3"/>
      <c r="V118" s="3"/>
      <c r="W118" s="15"/>
      <c r="X118" s="23"/>
      <c r="Y118" s="3"/>
      <c r="Z118" s="3"/>
      <c r="AA118" s="3"/>
      <c r="AB118" s="24"/>
      <c r="AC118" s="19"/>
      <c r="AD118" s="3"/>
      <c r="AE118" s="3"/>
      <c r="AF118" s="3"/>
      <c r="AG118" s="15"/>
      <c r="AH118" s="33"/>
    </row>
    <row r="119" spans="2:34" x14ac:dyDescent="0.4">
      <c r="B119" s="23">
        <f>ID!B119</f>
        <v>0</v>
      </c>
      <c r="C119" s="24" t="str">
        <f>ID!C119</f>
        <v>比嘉 もも</v>
      </c>
      <c r="D119" s="23"/>
      <c r="E119" s="3"/>
      <c r="F119" s="3"/>
      <c r="G119" s="3"/>
      <c r="H119" s="24"/>
      <c r="I119" s="19"/>
      <c r="J119" s="3"/>
      <c r="K119" s="3"/>
      <c r="L119" s="3"/>
      <c r="M119" s="15"/>
      <c r="N119" s="23"/>
      <c r="O119" s="3"/>
      <c r="P119" s="3"/>
      <c r="Q119" s="3"/>
      <c r="R119" s="24"/>
      <c r="S119" s="19"/>
      <c r="T119" s="3"/>
      <c r="U119" s="3"/>
      <c r="V119" s="3"/>
      <c r="W119" s="15"/>
      <c r="X119" s="23"/>
      <c r="Y119" s="3"/>
      <c r="Z119" s="3"/>
      <c r="AA119" s="3"/>
      <c r="AB119" s="24"/>
      <c r="AC119" s="19"/>
      <c r="AD119" s="3"/>
      <c r="AE119" s="3"/>
      <c r="AF119" s="3"/>
      <c r="AG119" s="15"/>
      <c r="AH119" s="33"/>
    </row>
    <row r="120" spans="2:34" x14ac:dyDescent="0.4">
      <c r="B120" s="23">
        <f>ID!B120</f>
        <v>0</v>
      </c>
      <c r="C120" s="24" t="str">
        <f>ID!C120</f>
        <v>長谷川 玲名</v>
      </c>
      <c r="D120" s="23"/>
      <c r="E120" s="3"/>
      <c r="F120" s="3"/>
      <c r="G120" s="3"/>
      <c r="H120" s="24"/>
      <c r="I120" s="19"/>
      <c r="J120" s="3"/>
      <c r="K120" s="3"/>
      <c r="L120" s="3"/>
      <c r="M120" s="15"/>
      <c r="N120" s="23"/>
      <c r="O120" s="3"/>
      <c r="P120" s="3"/>
      <c r="Q120" s="3"/>
      <c r="R120" s="24"/>
      <c r="S120" s="19"/>
      <c r="T120" s="3"/>
      <c r="U120" s="3"/>
      <c r="V120" s="3"/>
      <c r="W120" s="15"/>
      <c r="X120" s="23"/>
      <c r="Y120" s="3"/>
      <c r="Z120" s="3"/>
      <c r="AA120" s="3"/>
      <c r="AB120" s="24"/>
      <c r="AC120" s="19"/>
      <c r="AD120" s="3"/>
      <c r="AE120" s="3"/>
      <c r="AF120" s="3"/>
      <c r="AG120" s="15"/>
      <c r="AH120" s="33"/>
    </row>
    <row r="121" spans="2:34" x14ac:dyDescent="0.4">
      <c r="B121" s="23">
        <f>ID!B121</f>
        <v>0</v>
      </c>
      <c r="C121" s="24" t="str">
        <f>ID!C121</f>
        <v>石田 いろは</v>
      </c>
      <c r="D121" s="23"/>
      <c r="E121" s="3"/>
      <c r="F121" s="3"/>
      <c r="G121" s="3"/>
      <c r="H121" s="24"/>
      <c r="I121" s="19"/>
      <c r="J121" s="3"/>
      <c r="K121" s="3"/>
      <c r="L121" s="3"/>
      <c r="M121" s="15"/>
      <c r="N121" s="23"/>
      <c r="O121" s="3"/>
      <c r="P121" s="3"/>
      <c r="Q121" s="3"/>
      <c r="R121" s="24"/>
      <c r="S121" s="19"/>
      <c r="T121" s="3"/>
      <c r="U121" s="3"/>
      <c r="V121" s="3"/>
      <c r="W121" s="15"/>
      <c r="X121" s="23"/>
      <c r="Y121" s="3"/>
      <c r="Z121" s="3"/>
      <c r="AA121" s="3"/>
      <c r="AB121" s="24"/>
      <c r="AC121" s="19"/>
      <c r="AD121" s="3"/>
      <c r="AE121" s="3"/>
      <c r="AF121" s="3"/>
      <c r="AG121" s="15"/>
      <c r="AH121" s="33"/>
    </row>
    <row r="122" spans="2:34" x14ac:dyDescent="0.4">
      <c r="B122" s="23">
        <f>ID!B122</f>
        <v>0</v>
      </c>
      <c r="C122" s="24" t="str">
        <f>ID!C122</f>
        <v>平井 裕太朗</v>
      </c>
      <c r="D122" s="23"/>
      <c r="E122" s="3"/>
      <c r="F122" s="3"/>
      <c r="G122" s="3"/>
      <c r="H122" s="24"/>
      <c r="I122" s="19"/>
      <c r="J122" s="3"/>
      <c r="K122" s="3"/>
      <c r="L122" s="3"/>
      <c r="M122" s="15"/>
      <c r="N122" s="23"/>
      <c r="O122" s="3"/>
      <c r="P122" s="3"/>
      <c r="Q122" s="3"/>
      <c r="R122" s="24"/>
      <c r="S122" s="19"/>
      <c r="T122" s="3"/>
      <c r="U122" s="3"/>
      <c r="V122" s="3"/>
      <c r="W122" s="15"/>
      <c r="X122" s="23"/>
      <c r="Y122" s="3"/>
      <c r="Z122" s="3"/>
      <c r="AA122" s="3"/>
      <c r="AB122" s="24"/>
      <c r="AC122" s="19"/>
      <c r="AD122" s="3"/>
      <c r="AE122" s="3"/>
      <c r="AF122" s="3"/>
      <c r="AG122" s="15"/>
      <c r="AH122" s="33"/>
    </row>
    <row r="123" spans="2:34" x14ac:dyDescent="0.4">
      <c r="B123" s="23">
        <f>ID!B123</f>
        <v>0</v>
      </c>
      <c r="C123" s="24" t="str">
        <f>ID!C123</f>
        <v>市川 裕子</v>
      </c>
      <c r="D123" s="23"/>
      <c r="E123" s="3"/>
      <c r="F123" s="3"/>
      <c r="G123" s="3"/>
      <c r="H123" s="24"/>
      <c r="I123" s="19"/>
      <c r="J123" s="3"/>
      <c r="K123" s="3"/>
      <c r="L123" s="3"/>
      <c r="M123" s="15"/>
      <c r="N123" s="23"/>
      <c r="O123" s="3"/>
      <c r="P123" s="3"/>
      <c r="Q123" s="3"/>
      <c r="R123" s="24"/>
      <c r="S123" s="19"/>
      <c r="T123" s="3"/>
      <c r="U123" s="3"/>
      <c r="V123" s="3"/>
      <c r="W123" s="15"/>
      <c r="X123" s="23"/>
      <c r="Y123" s="3"/>
      <c r="Z123" s="3"/>
      <c r="AA123" s="3"/>
      <c r="AB123" s="24"/>
      <c r="AC123" s="19"/>
      <c r="AD123" s="3"/>
      <c r="AE123" s="3"/>
      <c r="AF123" s="3"/>
      <c r="AG123" s="15"/>
      <c r="AH123" s="33"/>
    </row>
    <row r="124" spans="2:34" x14ac:dyDescent="0.4">
      <c r="B124" s="23">
        <f>ID!B124</f>
        <v>0</v>
      </c>
      <c r="C124" s="24" t="str">
        <f>ID!C124</f>
        <v>井上 麗奈</v>
      </c>
      <c r="D124" s="23"/>
      <c r="E124" s="3"/>
      <c r="F124" s="3"/>
      <c r="G124" s="3"/>
      <c r="H124" s="24"/>
      <c r="I124" s="19"/>
      <c r="J124" s="3"/>
      <c r="K124" s="3"/>
      <c r="L124" s="3"/>
      <c r="M124" s="15"/>
      <c r="N124" s="23"/>
      <c r="O124" s="3"/>
      <c r="P124" s="3"/>
      <c r="Q124" s="3"/>
      <c r="R124" s="24"/>
      <c r="S124" s="19"/>
      <c r="T124" s="3"/>
      <c r="U124" s="3"/>
      <c r="V124" s="3"/>
      <c r="W124" s="15"/>
      <c r="X124" s="23"/>
      <c r="Y124" s="3"/>
      <c r="Z124" s="3"/>
      <c r="AA124" s="3"/>
      <c r="AB124" s="24"/>
      <c r="AC124" s="19"/>
      <c r="AD124" s="3"/>
      <c r="AE124" s="3"/>
      <c r="AF124" s="3"/>
      <c r="AG124" s="15"/>
      <c r="AH124" s="33"/>
    </row>
    <row r="125" spans="2:34" x14ac:dyDescent="0.4">
      <c r="B125" s="23">
        <f>ID!B125</f>
        <v>0</v>
      </c>
      <c r="C125" s="24" t="str">
        <f>ID!C125</f>
        <v>紀藤 正明</v>
      </c>
      <c r="D125" s="23"/>
      <c r="E125" s="3"/>
      <c r="F125" s="3"/>
      <c r="G125" s="3"/>
      <c r="H125" s="24"/>
      <c r="I125" s="19"/>
      <c r="J125" s="3"/>
      <c r="K125" s="3"/>
      <c r="L125" s="3"/>
      <c r="M125" s="15"/>
      <c r="N125" s="23"/>
      <c r="O125" s="3"/>
      <c r="P125" s="3"/>
      <c r="Q125" s="3"/>
      <c r="R125" s="24"/>
      <c r="S125" s="19"/>
      <c r="T125" s="3"/>
      <c r="U125" s="3"/>
      <c r="V125" s="3"/>
      <c r="W125" s="15"/>
      <c r="X125" s="23"/>
      <c r="Y125" s="3"/>
      <c r="Z125" s="3"/>
      <c r="AA125" s="3"/>
      <c r="AB125" s="24"/>
      <c r="AC125" s="19"/>
      <c r="AD125" s="3"/>
      <c r="AE125" s="3"/>
      <c r="AF125" s="3"/>
      <c r="AG125" s="15"/>
      <c r="AH125" s="33"/>
    </row>
    <row r="126" spans="2:34" x14ac:dyDescent="0.4">
      <c r="B126" s="23">
        <f>ID!B126</f>
        <v>0</v>
      </c>
      <c r="C126" s="24" t="str">
        <f>ID!C126</f>
        <v>空 憲一</v>
      </c>
      <c r="D126" s="23"/>
      <c r="E126" s="3"/>
      <c r="F126" s="3"/>
      <c r="G126" s="3"/>
      <c r="H126" s="24"/>
      <c r="I126" s="19"/>
      <c r="J126" s="3"/>
      <c r="K126" s="3"/>
      <c r="L126" s="3"/>
      <c r="M126" s="15"/>
      <c r="N126" s="23"/>
      <c r="O126" s="3"/>
      <c r="P126" s="3"/>
      <c r="Q126" s="3"/>
      <c r="R126" s="24"/>
      <c r="S126" s="19"/>
      <c r="T126" s="3"/>
      <c r="U126" s="3"/>
      <c r="V126" s="3"/>
      <c r="W126" s="15"/>
      <c r="X126" s="23"/>
      <c r="Y126" s="3"/>
      <c r="Z126" s="3"/>
      <c r="AA126" s="3"/>
      <c r="AB126" s="24"/>
      <c r="AC126" s="19"/>
      <c r="AD126" s="3"/>
      <c r="AE126" s="3"/>
      <c r="AF126" s="3"/>
      <c r="AG126" s="15"/>
      <c r="AH126" s="33"/>
    </row>
    <row r="127" spans="2:34" x14ac:dyDescent="0.4">
      <c r="B127" s="23">
        <f>ID!B127</f>
        <v>0</v>
      </c>
      <c r="C127" s="24" t="str">
        <f>ID!C127</f>
        <v>岩崎 相太郎</v>
      </c>
      <c r="D127" s="23"/>
      <c r="E127" s="3"/>
      <c r="F127" s="3"/>
      <c r="G127" s="3"/>
      <c r="H127" s="24"/>
      <c r="I127" s="19"/>
      <c r="J127" s="3"/>
      <c r="K127" s="3"/>
      <c r="L127" s="3"/>
      <c r="M127" s="15"/>
      <c r="N127" s="23"/>
      <c r="O127" s="3"/>
      <c r="P127" s="3"/>
      <c r="Q127" s="3"/>
      <c r="R127" s="24"/>
      <c r="S127" s="19"/>
      <c r="T127" s="3"/>
      <c r="U127" s="3"/>
      <c r="V127" s="3"/>
      <c r="W127" s="15"/>
      <c r="X127" s="23"/>
      <c r="Y127" s="3"/>
      <c r="Z127" s="3"/>
      <c r="AA127" s="3"/>
      <c r="AB127" s="24"/>
      <c r="AC127" s="19"/>
      <c r="AD127" s="3"/>
      <c r="AE127" s="3"/>
      <c r="AF127" s="3"/>
      <c r="AG127" s="15"/>
      <c r="AH127" s="33"/>
    </row>
    <row r="128" spans="2:34" x14ac:dyDescent="0.4">
      <c r="B128" s="23">
        <f>ID!B128</f>
        <v>0</v>
      </c>
      <c r="C128" s="24" t="str">
        <f>ID!C128</f>
        <v>青木 弘明</v>
      </c>
      <c r="D128" s="23"/>
      <c r="E128" s="3"/>
      <c r="F128" s="3"/>
      <c r="G128" s="3"/>
      <c r="H128" s="24"/>
      <c r="I128" s="19"/>
      <c r="J128" s="3"/>
      <c r="K128" s="3"/>
      <c r="L128" s="3"/>
      <c r="M128" s="15"/>
      <c r="N128" s="23"/>
      <c r="O128" s="3"/>
      <c r="P128" s="3"/>
      <c r="Q128" s="3"/>
      <c r="R128" s="24"/>
      <c r="S128" s="19"/>
      <c r="T128" s="3"/>
      <c r="U128" s="3"/>
      <c r="V128" s="3"/>
      <c r="W128" s="15"/>
      <c r="X128" s="23"/>
      <c r="Y128" s="3"/>
      <c r="Z128" s="3"/>
      <c r="AA128" s="3"/>
      <c r="AB128" s="24"/>
      <c r="AC128" s="19"/>
      <c r="AD128" s="3"/>
      <c r="AE128" s="3"/>
      <c r="AF128" s="3"/>
      <c r="AG128" s="15"/>
      <c r="AH128" s="33"/>
    </row>
    <row r="129" spans="2:34" x14ac:dyDescent="0.4">
      <c r="B129" s="23">
        <f>ID!B129</f>
        <v>0</v>
      </c>
      <c r="C129" s="24" t="str">
        <f>ID!C129</f>
        <v>武田 一成</v>
      </c>
      <c r="D129" s="23"/>
      <c r="E129" s="3"/>
      <c r="F129" s="3"/>
      <c r="G129" s="3"/>
      <c r="H129" s="24"/>
      <c r="I129" s="19"/>
      <c r="J129" s="3"/>
      <c r="K129" s="3"/>
      <c r="L129" s="3"/>
      <c r="M129" s="15"/>
      <c r="N129" s="23"/>
      <c r="O129" s="3"/>
      <c r="P129" s="3"/>
      <c r="Q129" s="3"/>
      <c r="R129" s="24"/>
      <c r="S129" s="19"/>
      <c r="T129" s="3"/>
      <c r="U129" s="3"/>
      <c r="V129" s="3"/>
      <c r="W129" s="15"/>
      <c r="X129" s="23"/>
      <c r="Y129" s="3"/>
      <c r="Z129" s="3"/>
      <c r="AA129" s="3"/>
      <c r="AB129" s="24"/>
      <c r="AC129" s="19"/>
      <c r="AD129" s="3"/>
      <c r="AE129" s="3"/>
      <c r="AF129" s="3"/>
      <c r="AG129" s="15"/>
      <c r="AH129" s="33"/>
    </row>
    <row r="130" spans="2:34" x14ac:dyDescent="0.4">
      <c r="B130" s="23">
        <f>ID!B130</f>
        <v>0</v>
      </c>
      <c r="C130" s="24" t="str">
        <f>ID!C130</f>
        <v>山崎 昌徳</v>
      </c>
      <c r="D130" s="23"/>
      <c r="E130" s="3"/>
      <c r="F130" s="3"/>
      <c r="G130" s="3"/>
      <c r="H130" s="24"/>
      <c r="I130" s="19"/>
      <c r="J130" s="3"/>
      <c r="K130" s="3"/>
      <c r="L130" s="3"/>
      <c r="M130" s="15"/>
      <c r="N130" s="23"/>
      <c r="O130" s="3"/>
      <c r="P130" s="3"/>
      <c r="Q130" s="3"/>
      <c r="R130" s="24"/>
      <c r="S130" s="19"/>
      <c r="T130" s="3"/>
      <c r="U130" s="3"/>
      <c r="V130" s="3"/>
      <c r="W130" s="15"/>
      <c r="X130" s="23"/>
      <c r="Y130" s="3"/>
      <c r="Z130" s="3"/>
      <c r="AA130" s="3"/>
      <c r="AB130" s="24"/>
      <c r="AC130" s="19"/>
      <c r="AD130" s="3"/>
      <c r="AE130" s="3"/>
      <c r="AF130" s="3"/>
      <c r="AG130" s="15"/>
      <c r="AH130" s="33"/>
    </row>
    <row r="131" spans="2:34" x14ac:dyDescent="0.4">
      <c r="B131" s="23">
        <f>ID!B131</f>
        <v>0</v>
      </c>
      <c r="C131" s="24" t="str">
        <f>ID!C131</f>
        <v>山野 かりん</v>
      </c>
      <c r="D131" s="23"/>
      <c r="E131" s="3"/>
      <c r="F131" s="3"/>
      <c r="G131" s="3"/>
      <c r="H131" s="24"/>
      <c r="I131" s="19"/>
      <c r="J131" s="3"/>
      <c r="K131" s="3"/>
      <c r="L131" s="3"/>
      <c r="M131" s="15"/>
      <c r="N131" s="23"/>
      <c r="O131" s="3"/>
      <c r="P131" s="3"/>
      <c r="Q131" s="3"/>
      <c r="R131" s="24"/>
      <c r="S131" s="19"/>
      <c r="T131" s="3"/>
      <c r="U131" s="3"/>
      <c r="V131" s="3"/>
      <c r="W131" s="15"/>
      <c r="X131" s="23"/>
      <c r="Y131" s="3"/>
      <c r="Z131" s="3"/>
      <c r="AA131" s="3"/>
      <c r="AB131" s="24"/>
      <c r="AC131" s="19"/>
      <c r="AD131" s="3"/>
      <c r="AE131" s="3"/>
      <c r="AF131" s="3"/>
      <c r="AG131" s="15"/>
      <c r="AH131" s="33"/>
    </row>
    <row r="132" spans="2:34" x14ac:dyDescent="0.4">
      <c r="B132" s="23">
        <f>ID!B132</f>
        <v>0</v>
      </c>
      <c r="C132" s="24" t="str">
        <f>ID!C132</f>
        <v>小池 いちか</v>
      </c>
      <c r="D132" s="23"/>
      <c r="E132" s="3"/>
      <c r="F132" s="3"/>
      <c r="G132" s="3"/>
      <c r="H132" s="24"/>
      <c r="I132" s="19"/>
      <c r="J132" s="3"/>
      <c r="K132" s="3"/>
      <c r="L132" s="3"/>
      <c r="M132" s="15"/>
      <c r="N132" s="23"/>
      <c r="O132" s="3"/>
      <c r="P132" s="3"/>
      <c r="Q132" s="3"/>
      <c r="R132" s="24"/>
      <c r="S132" s="19"/>
      <c r="T132" s="3"/>
      <c r="U132" s="3"/>
      <c r="V132" s="3"/>
      <c r="W132" s="15"/>
      <c r="X132" s="23"/>
      <c r="Y132" s="3"/>
      <c r="Z132" s="3"/>
      <c r="AA132" s="3"/>
      <c r="AB132" s="24"/>
      <c r="AC132" s="19"/>
      <c r="AD132" s="3"/>
      <c r="AE132" s="3"/>
      <c r="AF132" s="3"/>
      <c r="AG132" s="15"/>
      <c r="AH132" s="33"/>
    </row>
    <row r="133" spans="2:34" x14ac:dyDescent="0.4">
      <c r="B133" s="23">
        <f>ID!B133</f>
        <v>0</v>
      </c>
      <c r="C133" s="24" t="str">
        <f>ID!C133</f>
        <v>石塚 ひろみ</v>
      </c>
      <c r="D133" s="23"/>
      <c r="E133" s="3"/>
      <c r="F133" s="3"/>
      <c r="G133" s="3"/>
      <c r="H133" s="24"/>
      <c r="I133" s="19"/>
      <c r="J133" s="3"/>
      <c r="K133" s="3"/>
      <c r="L133" s="3"/>
      <c r="M133" s="15"/>
      <c r="N133" s="23"/>
      <c r="O133" s="3"/>
      <c r="P133" s="3"/>
      <c r="Q133" s="3"/>
      <c r="R133" s="24"/>
      <c r="S133" s="19"/>
      <c r="T133" s="3"/>
      <c r="U133" s="3"/>
      <c r="V133" s="3"/>
      <c r="W133" s="15"/>
      <c r="X133" s="23"/>
      <c r="Y133" s="3"/>
      <c r="Z133" s="3"/>
      <c r="AA133" s="3"/>
      <c r="AB133" s="24"/>
      <c r="AC133" s="19"/>
      <c r="AD133" s="3"/>
      <c r="AE133" s="3"/>
      <c r="AF133" s="3"/>
      <c r="AG133" s="15"/>
      <c r="AH133" s="33"/>
    </row>
    <row r="134" spans="2:34" x14ac:dyDescent="0.4">
      <c r="B134" s="23">
        <f>ID!B134</f>
        <v>0</v>
      </c>
      <c r="C134" s="24" t="str">
        <f>ID!C134</f>
        <v>琴野 尚文</v>
      </c>
      <c r="D134" s="23"/>
      <c r="E134" s="3"/>
      <c r="F134" s="3"/>
      <c r="G134" s="3"/>
      <c r="H134" s="24"/>
      <c r="I134" s="19"/>
      <c r="J134" s="3"/>
      <c r="K134" s="3"/>
      <c r="L134" s="3"/>
      <c r="M134" s="15"/>
      <c r="N134" s="23"/>
      <c r="O134" s="3"/>
      <c r="P134" s="3"/>
      <c r="Q134" s="3"/>
      <c r="R134" s="24"/>
      <c r="S134" s="19"/>
      <c r="T134" s="3"/>
      <c r="U134" s="3"/>
      <c r="V134" s="3"/>
      <c r="W134" s="15"/>
      <c r="X134" s="23"/>
      <c r="Y134" s="3"/>
      <c r="Z134" s="3"/>
      <c r="AA134" s="3"/>
      <c r="AB134" s="24"/>
      <c r="AC134" s="19"/>
      <c r="AD134" s="3"/>
      <c r="AE134" s="3"/>
      <c r="AF134" s="3"/>
      <c r="AG134" s="15"/>
      <c r="AH134" s="33"/>
    </row>
    <row r="135" spans="2:34" x14ac:dyDescent="0.4">
      <c r="B135" s="23">
        <f>ID!B135</f>
        <v>0</v>
      </c>
      <c r="C135" s="24" t="str">
        <f>ID!C135</f>
        <v>内藤 致勲</v>
      </c>
      <c r="D135" s="23"/>
      <c r="E135" s="3"/>
      <c r="F135" s="3"/>
      <c r="G135" s="3"/>
      <c r="H135" s="24"/>
      <c r="I135" s="19"/>
      <c r="J135" s="3"/>
      <c r="K135" s="3"/>
      <c r="L135" s="3"/>
      <c r="M135" s="15"/>
      <c r="N135" s="23"/>
      <c r="O135" s="3"/>
      <c r="P135" s="3"/>
      <c r="Q135" s="3"/>
      <c r="R135" s="24"/>
      <c r="S135" s="19"/>
      <c r="T135" s="3"/>
      <c r="U135" s="3"/>
      <c r="V135" s="3"/>
      <c r="W135" s="15"/>
      <c r="X135" s="23"/>
      <c r="Y135" s="3"/>
      <c r="Z135" s="3"/>
      <c r="AA135" s="3"/>
      <c r="AB135" s="24"/>
      <c r="AC135" s="19"/>
      <c r="AD135" s="3"/>
      <c r="AE135" s="3"/>
      <c r="AF135" s="3"/>
      <c r="AG135" s="15"/>
      <c r="AH135" s="33"/>
    </row>
    <row r="136" spans="2:34" x14ac:dyDescent="0.4">
      <c r="B136" s="23">
        <f>ID!B136</f>
        <v>0</v>
      </c>
      <c r="C136" s="24" t="str">
        <f>ID!C136</f>
        <v>風間 慎之介</v>
      </c>
      <c r="D136" s="23"/>
      <c r="E136" s="3"/>
      <c r="F136" s="3"/>
      <c r="G136" s="3"/>
      <c r="H136" s="24"/>
      <c r="I136" s="19"/>
      <c r="J136" s="3"/>
      <c r="K136" s="3"/>
      <c r="L136" s="3"/>
      <c r="M136" s="15"/>
      <c r="N136" s="23"/>
      <c r="O136" s="3"/>
      <c r="P136" s="3"/>
      <c r="Q136" s="3"/>
      <c r="R136" s="24"/>
      <c r="S136" s="19"/>
      <c r="T136" s="3"/>
      <c r="U136" s="3"/>
      <c r="V136" s="3"/>
      <c r="W136" s="15"/>
      <c r="X136" s="23"/>
      <c r="Y136" s="3"/>
      <c r="Z136" s="3"/>
      <c r="AA136" s="3"/>
      <c r="AB136" s="24"/>
      <c r="AC136" s="19"/>
      <c r="AD136" s="3"/>
      <c r="AE136" s="3"/>
      <c r="AF136" s="3"/>
      <c r="AG136" s="15"/>
      <c r="AH136" s="33"/>
    </row>
    <row r="137" spans="2:34" x14ac:dyDescent="0.4">
      <c r="B137" s="23">
        <f>ID!B137</f>
        <v>0</v>
      </c>
      <c r="C137" s="24" t="str">
        <f>ID!C137</f>
        <v>加々美 義行</v>
      </c>
      <c r="D137" s="23"/>
      <c r="E137" s="3"/>
      <c r="F137" s="3"/>
      <c r="G137" s="3"/>
      <c r="H137" s="24"/>
      <c r="I137" s="19"/>
      <c r="J137" s="3"/>
      <c r="K137" s="3"/>
      <c r="L137" s="3"/>
      <c r="M137" s="15"/>
      <c r="N137" s="23"/>
      <c r="O137" s="3"/>
      <c r="P137" s="3"/>
      <c r="Q137" s="3"/>
      <c r="R137" s="24"/>
      <c r="S137" s="19"/>
      <c r="T137" s="3"/>
      <c r="U137" s="3"/>
      <c r="V137" s="3"/>
      <c r="W137" s="15"/>
      <c r="X137" s="23"/>
      <c r="Y137" s="3"/>
      <c r="Z137" s="3"/>
      <c r="AA137" s="3"/>
      <c r="AB137" s="24"/>
      <c r="AC137" s="19"/>
      <c r="AD137" s="3"/>
      <c r="AE137" s="3"/>
      <c r="AF137" s="3"/>
      <c r="AG137" s="15"/>
      <c r="AH137" s="33"/>
    </row>
    <row r="138" spans="2:34" x14ac:dyDescent="0.4">
      <c r="B138" s="23">
        <f>ID!B138</f>
        <v>0</v>
      </c>
      <c r="C138" s="24" t="str">
        <f>ID!C138</f>
        <v>土井 拓巳</v>
      </c>
      <c r="D138" s="23"/>
      <c r="E138" s="3"/>
      <c r="F138" s="3"/>
      <c r="G138" s="3"/>
      <c r="H138" s="24"/>
      <c r="I138" s="19"/>
      <c r="J138" s="3"/>
      <c r="K138" s="3"/>
      <c r="L138" s="3"/>
      <c r="M138" s="15"/>
      <c r="N138" s="23"/>
      <c r="O138" s="3"/>
      <c r="P138" s="3"/>
      <c r="Q138" s="3"/>
      <c r="R138" s="24"/>
      <c r="S138" s="19"/>
      <c r="T138" s="3"/>
      <c r="U138" s="3"/>
      <c r="V138" s="3"/>
      <c r="W138" s="15"/>
      <c r="X138" s="23"/>
      <c r="Y138" s="3"/>
      <c r="Z138" s="3"/>
      <c r="AA138" s="3"/>
      <c r="AB138" s="24"/>
      <c r="AC138" s="19"/>
      <c r="AD138" s="3"/>
      <c r="AE138" s="3"/>
      <c r="AF138" s="3"/>
      <c r="AG138" s="15"/>
      <c r="AH138" s="33"/>
    </row>
    <row r="139" spans="2:34" x14ac:dyDescent="0.4">
      <c r="B139" s="23">
        <f>ID!B139</f>
        <v>0</v>
      </c>
      <c r="C139" s="24" t="str">
        <f>ID!C139</f>
        <v>上中 かんな</v>
      </c>
      <c r="D139" s="23"/>
      <c r="E139" s="3"/>
      <c r="F139" s="3"/>
      <c r="G139" s="3"/>
      <c r="H139" s="24"/>
      <c r="I139" s="19"/>
      <c r="J139" s="3"/>
      <c r="K139" s="3"/>
      <c r="L139" s="3"/>
      <c r="M139" s="15"/>
      <c r="N139" s="23"/>
      <c r="O139" s="3"/>
      <c r="P139" s="3"/>
      <c r="Q139" s="3"/>
      <c r="R139" s="24"/>
      <c r="S139" s="19"/>
      <c r="T139" s="3"/>
      <c r="U139" s="3"/>
      <c r="V139" s="3"/>
      <c r="W139" s="15"/>
      <c r="X139" s="23"/>
      <c r="Y139" s="3"/>
      <c r="Z139" s="3"/>
      <c r="AA139" s="3"/>
      <c r="AB139" s="24"/>
      <c r="AC139" s="19"/>
      <c r="AD139" s="3"/>
      <c r="AE139" s="3"/>
      <c r="AF139" s="3"/>
      <c r="AG139" s="15"/>
      <c r="AH139" s="33"/>
    </row>
    <row r="140" spans="2:34" x14ac:dyDescent="0.4">
      <c r="B140" s="23">
        <f>ID!B140</f>
        <v>0</v>
      </c>
      <c r="C140" s="24" t="str">
        <f>ID!C140</f>
        <v>清水 ゆりか</v>
      </c>
      <c r="D140" s="23"/>
      <c r="E140" s="3"/>
      <c r="F140" s="3"/>
      <c r="G140" s="3"/>
      <c r="H140" s="24"/>
      <c r="I140" s="19"/>
      <c r="J140" s="3"/>
      <c r="K140" s="3"/>
      <c r="L140" s="3"/>
      <c r="M140" s="15"/>
      <c r="N140" s="23"/>
      <c r="O140" s="3"/>
      <c r="P140" s="3"/>
      <c r="Q140" s="3"/>
      <c r="R140" s="24"/>
      <c r="S140" s="19"/>
      <c r="T140" s="3"/>
      <c r="U140" s="3"/>
      <c r="V140" s="3"/>
      <c r="W140" s="15"/>
      <c r="X140" s="23"/>
      <c r="Y140" s="3"/>
      <c r="Z140" s="3"/>
      <c r="AA140" s="3"/>
      <c r="AB140" s="24"/>
      <c r="AC140" s="19"/>
      <c r="AD140" s="3"/>
      <c r="AE140" s="3"/>
      <c r="AF140" s="3"/>
      <c r="AG140" s="15"/>
      <c r="AH140" s="33"/>
    </row>
    <row r="141" spans="2:34" x14ac:dyDescent="0.4">
      <c r="B141" s="23">
        <f>ID!B141</f>
        <v>0</v>
      </c>
      <c r="C141" s="24" t="str">
        <f>ID!C141</f>
        <v>濵田 利蔵</v>
      </c>
      <c r="D141" s="23"/>
      <c r="E141" s="3"/>
      <c r="F141" s="3"/>
      <c r="G141" s="3"/>
      <c r="H141" s="24"/>
      <c r="I141" s="19"/>
      <c r="J141" s="3"/>
      <c r="K141" s="3"/>
      <c r="L141" s="3"/>
      <c r="M141" s="15"/>
      <c r="N141" s="23"/>
      <c r="O141" s="3"/>
      <c r="P141" s="3"/>
      <c r="Q141" s="3"/>
      <c r="R141" s="24"/>
      <c r="S141" s="19"/>
      <c r="T141" s="3"/>
      <c r="U141" s="3"/>
      <c r="V141" s="3"/>
      <c r="W141" s="15"/>
      <c r="X141" s="23"/>
      <c r="Y141" s="3"/>
      <c r="Z141" s="3"/>
      <c r="AA141" s="3"/>
      <c r="AB141" s="24"/>
      <c r="AC141" s="19"/>
      <c r="AD141" s="3"/>
      <c r="AE141" s="3"/>
      <c r="AF141" s="3"/>
      <c r="AG141" s="15"/>
      <c r="AH141" s="33"/>
    </row>
    <row r="142" spans="2:34" x14ac:dyDescent="0.4">
      <c r="B142" s="23">
        <f>ID!B142</f>
        <v>0</v>
      </c>
      <c r="C142" s="24" t="str">
        <f>ID!C142</f>
        <v>野田 さゆり</v>
      </c>
      <c r="D142" s="23"/>
      <c r="E142" s="3"/>
      <c r="F142" s="3"/>
      <c r="G142" s="3"/>
      <c r="H142" s="24"/>
      <c r="I142" s="19"/>
      <c r="J142" s="3"/>
      <c r="K142" s="3"/>
      <c r="L142" s="3"/>
      <c r="M142" s="15"/>
      <c r="N142" s="23"/>
      <c r="O142" s="3"/>
      <c r="P142" s="3"/>
      <c r="Q142" s="3"/>
      <c r="R142" s="24"/>
      <c r="S142" s="19"/>
      <c r="T142" s="3"/>
      <c r="U142" s="3"/>
      <c r="V142" s="3"/>
      <c r="W142" s="15"/>
      <c r="X142" s="23"/>
      <c r="Y142" s="3"/>
      <c r="Z142" s="3"/>
      <c r="AA142" s="3"/>
      <c r="AB142" s="24"/>
      <c r="AC142" s="19"/>
      <c r="AD142" s="3"/>
      <c r="AE142" s="3"/>
      <c r="AF142" s="3"/>
      <c r="AG142" s="15"/>
      <c r="AH142" s="33"/>
    </row>
    <row r="143" spans="2:34" x14ac:dyDescent="0.4">
      <c r="B143" s="23">
        <f>ID!B143</f>
        <v>0</v>
      </c>
      <c r="C143" s="24" t="str">
        <f>ID!C143</f>
        <v>北原 信平</v>
      </c>
      <c r="D143" s="23"/>
      <c r="E143" s="3"/>
      <c r="F143" s="3"/>
      <c r="G143" s="3"/>
      <c r="H143" s="24"/>
      <c r="I143" s="19"/>
      <c r="J143" s="3"/>
      <c r="K143" s="3"/>
      <c r="L143" s="3"/>
      <c r="M143" s="15"/>
      <c r="N143" s="23"/>
      <c r="O143" s="3"/>
      <c r="P143" s="3"/>
      <c r="Q143" s="3"/>
      <c r="R143" s="24"/>
      <c r="S143" s="19"/>
      <c r="T143" s="3"/>
      <c r="U143" s="3"/>
      <c r="V143" s="3"/>
      <c r="W143" s="15"/>
      <c r="X143" s="23"/>
      <c r="Y143" s="3"/>
      <c r="Z143" s="3"/>
      <c r="AA143" s="3"/>
      <c r="AB143" s="24"/>
      <c r="AC143" s="19"/>
      <c r="AD143" s="3"/>
      <c r="AE143" s="3"/>
      <c r="AF143" s="3"/>
      <c r="AG143" s="15"/>
      <c r="AH143" s="33"/>
    </row>
    <row r="144" spans="2:34" x14ac:dyDescent="0.4">
      <c r="B144" s="23">
        <f>ID!B144</f>
        <v>0</v>
      </c>
      <c r="C144" s="24" t="str">
        <f>ID!C144</f>
        <v>杉本 直輝</v>
      </c>
      <c r="D144" s="23"/>
      <c r="E144" s="3"/>
      <c r="F144" s="3"/>
      <c r="G144" s="3"/>
      <c r="H144" s="24"/>
      <c r="I144" s="19"/>
      <c r="J144" s="3"/>
      <c r="K144" s="3"/>
      <c r="L144" s="3"/>
      <c r="M144" s="15"/>
      <c r="N144" s="23"/>
      <c r="O144" s="3"/>
      <c r="P144" s="3"/>
      <c r="Q144" s="3"/>
      <c r="R144" s="24"/>
      <c r="S144" s="19"/>
      <c r="T144" s="3"/>
      <c r="U144" s="3"/>
      <c r="V144" s="3"/>
      <c r="W144" s="15"/>
      <c r="X144" s="23"/>
      <c r="Y144" s="3"/>
      <c r="Z144" s="3"/>
      <c r="AA144" s="3"/>
      <c r="AB144" s="24"/>
      <c r="AC144" s="19"/>
      <c r="AD144" s="3"/>
      <c r="AE144" s="3"/>
      <c r="AF144" s="3"/>
      <c r="AG144" s="15"/>
      <c r="AH144" s="33"/>
    </row>
    <row r="145" spans="2:34" x14ac:dyDescent="0.4">
      <c r="B145" s="23">
        <f>ID!B145</f>
        <v>0</v>
      </c>
      <c r="C145" s="24" t="str">
        <f>ID!C145</f>
        <v>高口 梓</v>
      </c>
      <c r="D145" s="23"/>
      <c r="E145" s="3"/>
      <c r="F145" s="3"/>
      <c r="G145" s="3"/>
      <c r="H145" s="24"/>
      <c r="I145" s="19"/>
      <c r="J145" s="3"/>
      <c r="K145" s="3"/>
      <c r="L145" s="3"/>
      <c r="M145" s="15"/>
      <c r="N145" s="23"/>
      <c r="O145" s="3"/>
      <c r="P145" s="3"/>
      <c r="Q145" s="3"/>
      <c r="R145" s="24"/>
      <c r="S145" s="19"/>
      <c r="T145" s="3"/>
      <c r="U145" s="3"/>
      <c r="V145" s="3"/>
      <c r="W145" s="15"/>
      <c r="X145" s="23"/>
      <c r="Y145" s="3"/>
      <c r="Z145" s="3"/>
      <c r="AA145" s="3"/>
      <c r="AB145" s="24"/>
      <c r="AC145" s="19"/>
      <c r="AD145" s="3"/>
      <c r="AE145" s="3"/>
      <c r="AF145" s="3"/>
      <c r="AG145" s="15"/>
      <c r="AH145" s="33"/>
    </row>
    <row r="146" spans="2:34" x14ac:dyDescent="0.4">
      <c r="B146" s="23">
        <f>ID!B146</f>
        <v>0</v>
      </c>
      <c r="C146" s="24" t="str">
        <f>ID!C146</f>
        <v>平沢 壮</v>
      </c>
      <c r="D146" s="23"/>
      <c r="E146" s="3"/>
      <c r="F146" s="3"/>
      <c r="G146" s="3"/>
      <c r="H146" s="24"/>
      <c r="I146" s="19"/>
      <c r="J146" s="3"/>
      <c r="K146" s="3"/>
      <c r="L146" s="3"/>
      <c r="M146" s="15"/>
      <c r="N146" s="23"/>
      <c r="O146" s="3"/>
      <c r="P146" s="3"/>
      <c r="Q146" s="3"/>
      <c r="R146" s="24"/>
      <c r="S146" s="19"/>
      <c r="T146" s="3"/>
      <c r="U146" s="3"/>
      <c r="V146" s="3"/>
      <c r="W146" s="15"/>
      <c r="X146" s="23"/>
      <c r="Y146" s="3"/>
      <c r="Z146" s="3"/>
      <c r="AA146" s="3"/>
      <c r="AB146" s="24"/>
      <c r="AC146" s="19"/>
      <c r="AD146" s="3"/>
      <c r="AE146" s="3"/>
      <c r="AF146" s="3"/>
      <c r="AG146" s="15"/>
      <c r="AH146" s="33"/>
    </row>
    <row r="147" spans="2:34" x14ac:dyDescent="0.4">
      <c r="B147" s="23">
        <f>ID!B147</f>
        <v>0</v>
      </c>
      <c r="C147" s="24" t="str">
        <f>ID!C147</f>
        <v>根本 祐未</v>
      </c>
      <c r="D147" s="23"/>
      <c r="E147" s="3"/>
      <c r="F147" s="3"/>
      <c r="G147" s="3"/>
      <c r="H147" s="24"/>
      <c r="I147" s="19"/>
      <c r="J147" s="3"/>
      <c r="K147" s="3"/>
      <c r="L147" s="3"/>
      <c r="M147" s="15"/>
      <c r="N147" s="23"/>
      <c r="O147" s="3"/>
      <c r="P147" s="3"/>
      <c r="Q147" s="3"/>
      <c r="R147" s="24"/>
      <c r="S147" s="19"/>
      <c r="T147" s="3"/>
      <c r="U147" s="3"/>
      <c r="V147" s="3"/>
      <c r="W147" s="15"/>
      <c r="X147" s="23"/>
      <c r="Y147" s="3"/>
      <c r="Z147" s="3"/>
      <c r="AA147" s="3"/>
      <c r="AB147" s="24"/>
      <c r="AC147" s="19"/>
      <c r="AD147" s="3"/>
      <c r="AE147" s="3"/>
      <c r="AF147" s="3"/>
      <c r="AG147" s="15"/>
      <c r="AH147" s="33"/>
    </row>
    <row r="148" spans="2:34" x14ac:dyDescent="0.4">
      <c r="B148" s="23">
        <f>ID!B148</f>
        <v>0</v>
      </c>
      <c r="C148" s="24" t="str">
        <f>ID!C148</f>
        <v>松本 千尋</v>
      </c>
      <c r="D148" s="23"/>
      <c r="E148" s="3"/>
      <c r="F148" s="3"/>
      <c r="G148" s="3"/>
      <c r="H148" s="24"/>
      <c r="I148" s="19"/>
      <c r="J148" s="3"/>
      <c r="K148" s="3"/>
      <c r="L148" s="3"/>
      <c r="M148" s="15"/>
      <c r="N148" s="23"/>
      <c r="O148" s="3"/>
      <c r="P148" s="3"/>
      <c r="Q148" s="3"/>
      <c r="R148" s="24"/>
      <c r="S148" s="19"/>
      <c r="T148" s="3"/>
      <c r="U148" s="3"/>
      <c r="V148" s="3"/>
      <c r="W148" s="15"/>
      <c r="X148" s="23"/>
      <c r="Y148" s="3"/>
      <c r="Z148" s="3"/>
      <c r="AA148" s="3"/>
      <c r="AB148" s="24"/>
      <c r="AC148" s="19"/>
      <c r="AD148" s="3"/>
      <c r="AE148" s="3"/>
      <c r="AF148" s="3"/>
      <c r="AG148" s="15"/>
      <c r="AH148" s="33"/>
    </row>
    <row r="149" spans="2:34" x14ac:dyDescent="0.4">
      <c r="B149" s="23">
        <f>ID!B149</f>
        <v>0</v>
      </c>
      <c r="C149" s="24" t="str">
        <f>ID!C149</f>
        <v>秋葉 友香</v>
      </c>
      <c r="D149" s="23"/>
      <c r="E149" s="3"/>
      <c r="F149" s="3"/>
      <c r="G149" s="3"/>
      <c r="H149" s="24"/>
      <c r="I149" s="19"/>
      <c r="J149" s="3"/>
      <c r="K149" s="3"/>
      <c r="L149" s="3"/>
      <c r="M149" s="15"/>
      <c r="N149" s="23"/>
      <c r="O149" s="3"/>
      <c r="P149" s="3"/>
      <c r="Q149" s="3"/>
      <c r="R149" s="24"/>
      <c r="S149" s="19"/>
      <c r="T149" s="3"/>
      <c r="U149" s="3"/>
      <c r="V149" s="3"/>
      <c r="W149" s="15"/>
      <c r="X149" s="23"/>
      <c r="Y149" s="3"/>
      <c r="Z149" s="3"/>
      <c r="AA149" s="3"/>
      <c r="AB149" s="24"/>
      <c r="AC149" s="19"/>
      <c r="AD149" s="3"/>
      <c r="AE149" s="3"/>
      <c r="AF149" s="3"/>
      <c r="AG149" s="15"/>
      <c r="AH149" s="33"/>
    </row>
    <row r="150" spans="2:34" x14ac:dyDescent="0.4">
      <c r="B150" s="23">
        <f>ID!B150</f>
        <v>0</v>
      </c>
      <c r="C150" s="24" t="str">
        <f>ID!C150</f>
        <v>紺堂 直久</v>
      </c>
      <c r="D150" s="23"/>
      <c r="E150" s="3"/>
      <c r="F150" s="3"/>
      <c r="G150" s="3"/>
      <c r="H150" s="24"/>
      <c r="I150" s="19"/>
      <c r="J150" s="3"/>
      <c r="K150" s="3"/>
      <c r="L150" s="3"/>
      <c r="M150" s="15"/>
      <c r="N150" s="23"/>
      <c r="O150" s="3"/>
      <c r="P150" s="3"/>
      <c r="Q150" s="3"/>
      <c r="R150" s="24"/>
      <c r="S150" s="19"/>
      <c r="T150" s="3"/>
      <c r="U150" s="3"/>
      <c r="V150" s="3"/>
      <c r="W150" s="15"/>
      <c r="X150" s="23"/>
      <c r="Y150" s="3"/>
      <c r="Z150" s="3"/>
      <c r="AA150" s="3"/>
      <c r="AB150" s="24"/>
      <c r="AC150" s="19"/>
      <c r="AD150" s="3"/>
      <c r="AE150" s="3"/>
      <c r="AF150" s="3"/>
      <c r="AG150" s="15"/>
      <c r="AH150" s="33"/>
    </row>
    <row r="151" spans="2:34" x14ac:dyDescent="0.4">
      <c r="B151" s="23">
        <f>ID!B151</f>
        <v>0</v>
      </c>
      <c r="C151" s="24" t="str">
        <f>ID!C151</f>
        <v>佐野 慧美</v>
      </c>
      <c r="D151" s="23"/>
      <c r="E151" s="3"/>
      <c r="F151" s="3"/>
      <c r="G151" s="3"/>
      <c r="H151" s="24"/>
      <c r="I151" s="19"/>
      <c r="J151" s="3"/>
      <c r="K151" s="3"/>
      <c r="L151" s="3"/>
      <c r="M151" s="15"/>
      <c r="N151" s="23"/>
      <c r="O151" s="3"/>
      <c r="P151" s="3"/>
      <c r="Q151" s="3"/>
      <c r="R151" s="24"/>
      <c r="S151" s="19"/>
      <c r="T151" s="3"/>
      <c r="U151" s="3"/>
      <c r="V151" s="3"/>
      <c r="W151" s="15"/>
      <c r="X151" s="23"/>
      <c r="Y151" s="3"/>
      <c r="Z151" s="3"/>
      <c r="AA151" s="3"/>
      <c r="AB151" s="24"/>
      <c r="AC151" s="19"/>
      <c r="AD151" s="3"/>
      <c r="AE151" s="3"/>
      <c r="AF151" s="3"/>
      <c r="AG151" s="15"/>
      <c r="AH151" s="33"/>
    </row>
    <row r="152" spans="2:34" x14ac:dyDescent="0.4">
      <c r="B152" s="23">
        <f>ID!B152</f>
        <v>0</v>
      </c>
      <c r="C152" s="24" t="str">
        <f>ID!C152</f>
        <v>作道 健一</v>
      </c>
      <c r="D152" s="23"/>
      <c r="E152" s="3"/>
      <c r="F152" s="3"/>
      <c r="G152" s="3"/>
      <c r="H152" s="24"/>
      <c r="I152" s="19"/>
      <c r="J152" s="3"/>
      <c r="K152" s="3"/>
      <c r="L152" s="3"/>
      <c r="M152" s="15"/>
      <c r="N152" s="23"/>
      <c r="O152" s="3"/>
      <c r="P152" s="3"/>
      <c r="Q152" s="3"/>
      <c r="R152" s="24"/>
      <c r="S152" s="19"/>
      <c r="T152" s="3"/>
      <c r="U152" s="3"/>
      <c r="V152" s="3"/>
      <c r="W152" s="15"/>
      <c r="X152" s="23"/>
      <c r="Y152" s="3"/>
      <c r="Z152" s="3"/>
      <c r="AA152" s="3"/>
      <c r="AB152" s="24"/>
      <c r="AC152" s="19"/>
      <c r="AD152" s="3"/>
      <c r="AE152" s="3"/>
      <c r="AF152" s="3"/>
      <c r="AG152" s="15"/>
      <c r="AH152" s="33"/>
    </row>
    <row r="153" spans="2:34" x14ac:dyDescent="0.4">
      <c r="B153" s="23">
        <f>ID!B153</f>
        <v>0</v>
      </c>
      <c r="C153" s="24" t="str">
        <f>ID!C153</f>
        <v>三浦 奈菜</v>
      </c>
      <c r="D153" s="23"/>
      <c r="E153" s="3"/>
      <c r="F153" s="3"/>
      <c r="G153" s="3"/>
      <c r="H153" s="24"/>
      <c r="I153" s="19"/>
      <c r="J153" s="3"/>
      <c r="K153" s="3"/>
      <c r="L153" s="3"/>
      <c r="M153" s="15"/>
      <c r="N153" s="23"/>
      <c r="O153" s="3"/>
      <c r="P153" s="3"/>
      <c r="Q153" s="3"/>
      <c r="R153" s="24"/>
      <c r="S153" s="19"/>
      <c r="T153" s="3"/>
      <c r="U153" s="3"/>
      <c r="V153" s="3"/>
      <c r="W153" s="15"/>
      <c r="X153" s="23"/>
      <c r="Y153" s="3"/>
      <c r="Z153" s="3"/>
      <c r="AA153" s="3"/>
      <c r="AB153" s="24"/>
      <c r="AC153" s="19"/>
      <c r="AD153" s="3"/>
      <c r="AE153" s="3"/>
      <c r="AF153" s="3"/>
      <c r="AG153" s="15"/>
      <c r="AH153" s="33"/>
    </row>
    <row r="154" spans="2:34" x14ac:dyDescent="0.4">
      <c r="B154" s="23">
        <f>ID!B154</f>
        <v>0</v>
      </c>
      <c r="C154" s="24">
        <f>ID!C154</f>
        <v>0</v>
      </c>
      <c r="D154" s="23"/>
      <c r="E154" s="3"/>
      <c r="F154" s="3"/>
      <c r="G154" s="3"/>
      <c r="H154" s="24"/>
      <c r="I154" s="19"/>
      <c r="J154" s="3"/>
      <c r="K154" s="3"/>
      <c r="L154" s="3"/>
      <c r="M154" s="15"/>
      <c r="N154" s="23"/>
      <c r="O154" s="3"/>
      <c r="P154" s="3"/>
      <c r="Q154" s="3"/>
      <c r="R154" s="24"/>
      <c r="S154" s="19"/>
      <c r="T154" s="3"/>
      <c r="U154" s="3"/>
      <c r="V154" s="3"/>
      <c r="W154" s="15"/>
      <c r="X154" s="23"/>
      <c r="Y154" s="3"/>
      <c r="Z154" s="3"/>
      <c r="AA154" s="3"/>
      <c r="AB154" s="24"/>
      <c r="AC154" s="19"/>
      <c r="AD154" s="3"/>
      <c r="AE154" s="3"/>
      <c r="AF154" s="3"/>
      <c r="AG154" s="15"/>
      <c r="AH154" s="33"/>
    </row>
    <row r="155" spans="2:34" x14ac:dyDescent="0.4">
      <c r="B155" s="23">
        <f>ID!B155</f>
        <v>0</v>
      </c>
      <c r="C155" s="24">
        <f>ID!C155</f>
        <v>0</v>
      </c>
      <c r="D155" s="23"/>
      <c r="E155" s="3"/>
      <c r="F155" s="3"/>
      <c r="G155" s="3"/>
      <c r="H155" s="24"/>
      <c r="I155" s="19"/>
      <c r="J155" s="3"/>
      <c r="K155" s="3"/>
      <c r="L155" s="3"/>
      <c r="M155" s="15"/>
      <c r="N155" s="23"/>
      <c r="O155" s="3"/>
      <c r="P155" s="3"/>
      <c r="Q155" s="3"/>
      <c r="R155" s="24"/>
      <c r="S155" s="19"/>
      <c r="T155" s="3"/>
      <c r="U155" s="3"/>
      <c r="V155" s="3"/>
      <c r="W155" s="15"/>
      <c r="X155" s="23"/>
      <c r="Y155" s="3"/>
      <c r="Z155" s="3"/>
      <c r="AA155" s="3"/>
      <c r="AB155" s="24"/>
      <c r="AC155" s="19"/>
      <c r="AD155" s="3"/>
      <c r="AE155" s="3"/>
      <c r="AF155" s="3"/>
      <c r="AG155" s="15"/>
      <c r="AH155" s="33"/>
    </row>
    <row r="156" spans="2:34" x14ac:dyDescent="0.4">
      <c r="B156" s="23">
        <f>ID!B156</f>
        <v>0</v>
      </c>
      <c r="C156" s="24">
        <f>ID!C156</f>
        <v>0</v>
      </c>
      <c r="D156" s="23"/>
      <c r="E156" s="3"/>
      <c r="F156" s="3"/>
      <c r="G156" s="3"/>
      <c r="H156" s="24"/>
      <c r="I156" s="19"/>
      <c r="J156" s="3"/>
      <c r="K156" s="3"/>
      <c r="L156" s="3"/>
      <c r="M156" s="15"/>
      <c r="N156" s="23"/>
      <c r="O156" s="3"/>
      <c r="P156" s="3"/>
      <c r="Q156" s="3"/>
      <c r="R156" s="24"/>
      <c r="S156" s="19"/>
      <c r="T156" s="3"/>
      <c r="U156" s="3"/>
      <c r="V156" s="3"/>
      <c r="W156" s="15"/>
      <c r="X156" s="23"/>
      <c r="Y156" s="3"/>
      <c r="Z156" s="3"/>
      <c r="AA156" s="3"/>
      <c r="AB156" s="24"/>
      <c r="AC156" s="19"/>
      <c r="AD156" s="3"/>
      <c r="AE156" s="3"/>
      <c r="AF156" s="3"/>
      <c r="AG156" s="15"/>
      <c r="AH156" s="33"/>
    </row>
    <row r="157" spans="2:34" x14ac:dyDescent="0.4">
      <c r="B157" s="23">
        <f>ID!B157</f>
        <v>0</v>
      </c>
      <c r="C157" s="24">
        <f>ID!C157</f>
        <v>0</v>
      </c>
      <c r="D157" s="23"/>
      <c r="E157" s="3"/>
      <c r="F157" s="3"/>
      <c r="G157" s="3"/>
      <c r="H157" s="24"/>
      <c r="I157" s="19"/>
      <c r="J157" s="3"/>
      <c r="K157" s="3"/>
      <c r="L157" s="3"/>
      <c r="M157" s="15"/>
      <c r="N157" s="23"/>
      <c r="O157" s="3"/>
      <c r="P157" s="3"/>
      <c r="Q157" s="3"/>
      <c r="R157" s="24"/>
      <c r="S157" s="19"/>
      <c r="T157" s="3"/>
      <c r="U157" s="3"/>
      <c r="V157" s="3"/>
      <c r="W157" s="15"/>
      <c r="X157" s="23"/>
      <c r="Y157" s="3"/>
      <c r="Z157" s="3"/>
      <c r="AA157" s="3"/>
      <c r="AB157" s="24"/>
      <c r="AC157" s="19"/>
      <c r="AD157" s="3"/>
      <c r="AE157" s="3"/>
      <c r="AF157" s="3"/>
      <c r="AG157" s="15"/>
      <c r="AH157" s="33"/>
    </row>
    <row r="158" spans="2:34" x14ac:dyDescent="0.4">
      <c r="B158" s="23">
        <f>ID!B158</f>
        <v>0</v>
      </c>
      <c r="C158" s="24">
        <f>ID!C158</f>
        <v>0</v>
      </c>
      <c r="D158" s="23"/>
      <c r="E158" s="3"/>
      <c r="F158" s="3"/>
      <c r="G158" s="3"/>
      <c r="H158" s="24"/>
      <c r="I158" s="19"/>
      <c r="J158" s="3"/>
      <c r="K158" s="3"/>
      <c r="L158" s="3"/>
      <c r="M158" s="15"/>
      <c r="N158" s="23"/>
      <c r="O158" s="3"/>
      <c r="P158" s="3"/>
      <c r="Q158" s="3"/>
      <c r="R158" s="24"/>
      <c r="S158" s="19"/>
      <c r="T158" s="3"/>
      <c r="U158" s="3"/>
      <c r="V158" s="3"/>
      <c r="W158" s="15"/>
      <c r="X158" s="23"/>
      <c r="Y158" s="3"/>
      <c r="Z158" s="3"/>
      <c r="AA158" s="3"/>
      <c r="AB158" s="24"/>
      <c r="AC158" s="19"/>
      <c r="AD158" s="3"/>
      <c r="AE158" s="3"/>
      <c r="AF158" s="3"/>
      <c r="AG158" s="15"/>
      <c r="AH158" s="33"/>
    </row>
    <row r="159" spans="2:34" x14ac:dyDescent="0.4">
      <c r="B159" s="23">
        <f>ID!B159</f>
        <v>0</v>
      </c>
      <c r="C159" s="24">
        <f>ID!C159</f>
        <v>0</v>
      </c>
      <c r="D159" s="23"/>
      <c r="E159" s="3"/>
      <c r="F159" s="3"/>
      <c r="G159" s="3"/>
      <c r="H159" s="24"/>
      <c r="I159" s="19"/>
      <c r="J159" s="3"/>
      <c r="K159" s="3"/>
      <c r="L159" s="3"/>
      <c r="M159" s="15"/>
      <c r="N159" s="23"/>
      <c r="O159" s="3"/>
      <c r="P159" s="3"/>
      <c r="Q159" s="3"/>
      <c r="R159" s="24"/>
      <c r="S159" s="19"/>
      <c r="T159" s="3"/>
      <c r="U159" s="3"/>
      <c r="V159" s="3"/>
      <c r="W159" s="15"/>
      <c r="X159" s="23"/>
      <c r="Y159" s="3"/>
      <c r="Z159" s="3"/>
      <c r="AA159" s="3"/>
      <c r="AB159" s="24"/>
      <c r="AC159" s="19"/>
      <c r="AD159" s="3"/>
      <c r="AE159" s="3"/>
      <c r="AF159" s="3"/>
      <c r="AG159" s="15"/>
      <c r="AH159" s="33"/>
    </row>
    <row r="160" spans="2:34" x14ac:dyDescent="0.4">
      <c r="B160" s="23">
        <f>ID!B160</f>
        <v>0</v>
      </c>
      <c r="C160" s="24">
        <f>ID!C160</f>
        <v>0</v>
      </c>
      <c r="D160" s="23"/>
      <c r="E160" s="3"/>
      <c r="F160" s="3"/>
      <c r="G160" s="3"/>
      <c r="H160" s="24"/>
      <c r="I160" s="19"/>
      <c r="J160" s="3"/>
      <c r="K160" s="3"/>
      <c r="L160" s="3"/>
      <c r="M160" s="15"/>
      <c r="N160" s="23"/>
      <c r="O160" s="3"/>
      <c r="P160" s="3"/>
      <c r="Q160" s="3"/>
      <c r="R160" s="24"/>
      <c r="S160" s="19"/>
      <c r="T160" s="3"/>
      <c r="U160" s="3"/>
      <c r="V160" s="3"/>
      <c r="W160" s="15"/>
      <c r="X160" s="23"/>
      <c r="Y160" s="3"/>
      <c r="Z160" s="3"/>
      <c r="AA160" s="3"/>
      <c r="AB160" s="24"/>
      <c r="AC160" s="19"/>
      <c r="AD160" s="3"/>
      <c r="AE160" s="3"/>
      <c r="AF160" s="3"/>
      <c r="AG160" s="15"/>
      <c r="AH160" s="33"/>
    </row>
    <row r="161" spans="2:34" x14ac:dyDescent="0.4">
      <c r="B161" s="23">
        <f>ID!B161</f>
        <v>0</v>
      </c>
      <c r="C161" s="24">
        <f>ID!C161</f>
        <v>0</v>
      </c>
      <c r="D161" s="23"/>
      <c r="E161" s="3"/>
      <c r="F161" s="3"/>
      <c r="G161" s="3"/>
      <c r="H161" s="24"/>
      <c r="I161" s="19"/>
      <c r="J161" s="3"/>
      <c r="K161" s="3"/>
      <c r="L161" s="3"/>
      <c r="M161" s="15"/>
      <c r="N161" s="23"/>
      <c r="O161" s="3"/>
      <c r="P161" s="3"/>
      <c r="Q161" s="3"/>
      <c r="R161" s="24"/>
      <c r="S161" s="19"/>
      <c r="T161" s="3"/>
      <c r="U161" s="3"/>
      <c r="V161" s="3"/>
      <c r="W161" s="15"/>
      <c r="X161" s="23"/>
      <c r="Y161" s="3"/>
      <c r="Z161" s="3"/>
      <c r="AA161" s="3"/>
      <c r="AB161" s="24"/>
      <c r="AC161" s="19"/>
      <c r="AD161" s="3"/>
      <c r="AE161" s="3"/>
      <c r="AF161" s="3"/>
      <c r="AG161" s="15"/>
      <c r="AH161" s="33"/>
    </row>
    <row r="162" spans="2:34" x14ac:dyDescent="0.4">
      <c r="B162" s="23">
        <f>ID!B162</f>
        <v>0</v>
      </c>
      <c r="C162" s="24">
        <f>ID!C162</f>
        <v>0</v>
      </c>
      <c r="D162" s="23"/>
      <c r="E162" s="3"/>
      <c r="F162" s="3"/>
      <c r="G162" s="3"/>
      <c r="H162" s="24"/>
      <c r="I162" s="19"/>
      <c r="J162" s="3"/>
      <c r="K162" s="3"/>
      <c r="L162" s="3"/>
      <c r="M162" s="15"/>
      <c r="N162" s="23"/>
      <c r="O162" s="3"/>
      <c r="P162" s="3"/>
      <c r="Q162" s="3"/>
      <c r="R162" s="24"/>
      <c r="S162" s="19"/>
      <c r="T162" s="3"/>
      <c r="U162" s="3"/>
      <c r="V162" s="3"/>
      <c r="W162" s="15"/>
      <c r="X162" s="23"/>
      <c r="Y162" s="3"/>
      <c r="Z162" s="3"/>
      <c r="AA162" s="3"/>
      <c r="AB162" s="24"/>
      <c r="AC162" s="19"/>
      <c r="AD162" s="3"/>
      <c r="AE162" s="3"/>
      <c r="AF162" s="3"/>
      <c r="AG162" s="15"/>
      <c r="AH162" s="33"/>
    </row>
    <row r="163" spans="2:34" x14ac:dyDescent="0.4">
      <c r="B163" s="23">
        <f>ID!B163</f>
        <v>0</v>
      </c>
      <c r="C163" s="24">
        <f>ID!C163</f>
        <v>0</v>
      </c>
      <c r="D163" s="23"/>
      <c r="E163" s="3"/>
      <c r="F163" s="3"/>
      <c r="G163" s="3"/>
      <c r="H163" s="24"/>
      <c r="I163" s="19"/>
      <c r="J163" s="3"/>
      <c r="K163" s="3"/>
      <c r="L163" s="3"/>
      <c r="M163" s="15"/>
      <c r="N163" s="23"/>
      <c r="O163" s="3"/>
      <c r="P163" s="3"/>
      <c r="Q163" s="3"/>
      <c r="R163" s="24"/>
      <c r="S163" s="19"/>
      <c r="T163" s="3"/>
      <c r="U163" s="3"/>
      <c r="V163" s="3"/>
      <c r="W163" s="15"/>
      <c r="X163" s="23"/>
      <c r="Y163" s="3"/>
      <c r="Z163" s="3"/>
      <c r="AA163" s="3"/>
      <c r="AB163" s="24"/>
      <c r="AC163" s="19"/>
      <c r="AD163" s="3"/>
      <c r="AE163" s="3"/>
      <c r="AF163" s="3"/>
      <c r="AG163" s="15"/>
      <c r="AH163" s="33"/>
    </row>
    <row r="164" spans="2:34" x14ac:dyDescent="0.4">
      <c r="B164" s="23">
        <f>ID!B164</f>
        <v>0</v>
      </c>
      <c r="C164" s="24">
        <f>ID!C164</f>
        <v>0</v>
      </c>
      <c r="D164" s="23"/>
      <c r="E164" s="3"/>
      <c r="F164" s="3"/>
      <c r="G164" s="3"/>
      <c r="H164" s="24"/>
      <c r="I164" s="19"/>
      <c r="J164" s="3"/>
      <c r="K164" s="3"/>
      <c r="L164" s="3"/>
      <c r="M164" s="15"/>
      <c r="N164" s="23"/>
      <c r="O164" s="3"/>
      <c r="P164" s="3"/>
      <c r="Q164" s="3"/>
      <c r="R164" s="24"/>
      <c r="S164" s="19"/>
      <c r="T164" s="3"/>
      <c r="U164" s="3"/>
      <c r="V164" s="3"/>
      <c r="W164" s="15"/>
      <c r="X164" s="23"/>
      <c r="Y164" s="3"/>
      <c r="Z164" s="3"/>
      <c r="AA164" s="3"/>
      <c r="AB164" s="24"/>
      <c r="AC164" s="19"/>
      <c r="AD164" s="3"/>
      <c r="AE164" s="3"/>
      <c r="AF164" s="3"/>
      <c r="AG164" s="15"/>
      <c r="AH164" s="33"/>
    </row>
    <row r="165" spans="2:34" x14ac:dyDescent="0.4">
      <c r="B165" s="23">
        <f>ID!B165</f>
        <v>0</v>
      </c>
      <c r="C165" s="24">
        <f>ID!C165</f>
        <v>0</v>
      </c>
      <c r="D165" s="23"/>
      <c r="E165" s="3"/>
      <c r="F165" s="3"/>
      <c r="G165" s="3"/>
      <c r="H165" s="24"/>
      <c r="I165" s="19"/>
      <c r="J165" s="3"/>
      <c r="K165" s="3"/>
      <c r="L165" s="3"/>
      <c r="M165" s="15"/>
      <c r="N165" s="23"/>
      <c r="O165" s="3"/>
      <c r="P165" s="3"/>
      <c r="Q165" s="3"/>
      <c r="R165" s="24"/>
      <c r="S165" s="19"/>
      <c r="T165" s="3"/>
      <c r="U165" s="3"/>
      <c r="V165" s="3"/>
      <c r="W165" s="15"/>
      <c r="X165" s="23"/>
      <c r="Y165" s="3"/>
      <c r="Z165" s="3"/>
      <c r="AA165" s="3"/>
      <c r="AB165" s="24"/>
      <c r="AC165" s="19"/>
      <c r="AD165" s="3"/>
      <c r="AE165" s="3"/>
      <c r="AF165" s="3"/>
      <c r="AG165" s="15"/>
      <c r="AH165" s="33"/>
    </row>
    <row r="166" spans="2:34" x14ac:dyDescent="0.4">
      <c r="B166" s="23">
        <f>ID!B166</f>
        <v>0</v>
      </c>
      <c r="C166" s="24">
        <f>ID!C166</f>
        <v>0</v>
      </c>
      <c r="D166" s="23"/>
      <c r="E166" s="3"/>
      <c r="F166" s="3"/>
      <c r="G166" s="3"/>
      <c r="H166" s="24"/>
      <c r="I166" s="19"/>
      <c r="J166" s="3"/>
      <c r="K166" s="3"/>
      <c r="L166" s="3"/>
      <c r="M166" s="15"/>
      <c r="N166" s="23"/>
      <c r="O166" s="3"/>
      <c r="P166" s="3"/>
      <c r="Q166" s="3"/>
      <c r="R166" s="24"/>
      <c r="S166" s="19"/>
      <c r="T166" s="3"/>
      <c r="U166" s="3"/>
      <c r="V166" s="3"/>
      <c r="W166" s="15"/>
      <c r="X166" s="23"/>
      <c r="Y166" s="3"/>
      <c r="Z166" s="3"/>
      <c r="AA166" s="3"/>
      <c r="AB166" s="24"/>
      <c r="AC166" s="19"/>
      <c r="AD166" s="3"/>
      <c r="AE166" s="3"/>
      <c r="AF166" s="3"/>
      <c r="AG166" s="15"/>
      <c r="AH166" s="33"/>
    </row>
    <row r="167" spans="2:34" x14ac:dyDescent="0.4">
      <c r="B167" s="23">
        <f>ID!B167</f>
        <v>0</v>
      </c>
      <c r="C167" s="24">
        <f>ID!C167</f>
        <v>0</v>
      </c>
      <c r="D167" s="23"/>
      <c r="E167" s="3"/>
      <c r="F167" s="3"/>
      <c r="G167" s="3"/>
      <c r="H167" s="24"/>
      <c r="I167" s="19"/>
      <c r="J167" s="3"/>
      <c r="K167" s="3"/>
      <c r="L167" s="3"/>
      <c r="M167" s="15"/>
      <c r="N167" s="23"/>
      <c r="O167" s="3"/>
      <c r="P167" s="3"/>
      <c r="Q167" s="3"/>
      <c r="R167" s="24"/>
      <c r="S167" s="19"/>
      <c r="T167" s="3"/>
      <c r="U167" s="3"/>
      <c r="V167" s="3"/>
      <c r="W167" s="15"/>
      <c r="X167" s="23"/>
      <c r="Y167" s="3"/>
      <c r="Z167" s="3"/>
      <c r="AA167" s="3"/>
      <c r="AB167" s="24"/>
      <c r="AC167" s="19"/>
      <c r="AD167" s="3"/>
      <c r="AE167" s="3"/>
      <c r="AF167" s="3"/>
      <c r="AG167" s="15"/>
      <c r="AH167" s="33"/>
    </row>
    <row r="168" spans="2:34" x14ac:dyDescent="0.4">
      <c r="B168" s="23">
        <f>ID!B168</f>
        <v>0</v>
      </c>
      <c r="C168" s="24">
        <f>ID!C168</f>
        <v>0</v>
      </c>
      <c r="D168" s="23"/>
      <c r="E168" s="3"/>
      <c r="F168" s="3"/>
      <c r="G168" s="3"/>
      <c r="H168" s="24"/>
      <c r="I168" s="19"/>
      <c r="J168" s="3"/>
      <c r="K168" s="3"/>
      <c r="L168" s="3"/>
      <c r="M168" s="15"/>
      <c r="N168" s="23"/>
      <c r="O168" s="3"/>
      <c r="P168" s="3"/>
      <c r="Q168" s="3"/>
      <c r="R168" s="24"/>
      <c r="S168" s="19"/>
      <c r="T168" s="3"/>
      <c r="U168" s="3"/>
      <c r="V168" s="3"/>
      <c r="W168" s="15"/>
      <c r="X168" s="23"/>
      <c r="Y168" s="3"/>
      <c r="Z168" s="3"/>
      <c r="AA168" s="3"/>
      <c r="AB168" s="24"/>
      <c r="AC168" s="19"/>
      <c r="AD168" s="3"/>
      <c r="AE168" s="3"/>
      <c r="AF168" s="3"/>
      <c r="AG168" s="15"/>
      <c r="AH168" s="33"/>
    </row>
    <row r="169" spans="2:34" x14ac:dyDescent="0.4">
      <c r="B169" s="23">
        <f>ID!B169</f>
        <v>0</v>
      </c>
      <c r="C169" s="24">
        <f>ID!C169</f>
        <v>0</v>
      </c>
      <c r="D169" s="23"/>
      <c r="E169" s="3"/>
      <c r="F169" s="3"/>
      <c r="G169" s="3"/>
      <c r="H169" s="24"/>
      <c r="I169" s="19"/>
      <c r="J169" s="3"/>
      <c r="K169" s="3"/>
      <c r="L169" s="3"/>
      <c r="M169" s="15"/>
      <c r="N169" s="23"/>
      <c r="O169" s="3"/>
      <c r="P169" s="3"/>
      <c r="Q169" s="3"/>
      <c r="R169" s="24"/>
      <c r="S169" s="19"/>
      <c r="T169" s="3"/>
      <c r="U169" s="3"/>
      <c r="V169" s="3"/>
      <c r="W169" s="15"/>
      <c r="X169" s="23"/>
      <c r="Y169" s="3"/>
      <c r="Z169" s="3"/>
      <c r="AA169" s="3"/>
      <c r="AB169" s="24"/>
      <c r="AC169" s="19"/>
      <c r="AD169" s="3"/>
      <c r="AE169" s="3"/>
      <c r="AF169" s="3"/>
      <c r="AG169" s="15"/>
      <c r="AH169" s="33"/>
    </row>
    <row r="170" spans="2:34" x14ac:dyDescent="0.4">
      <c r="B170" s="23">
        <f>ID!B170</f>
        <v>0</v>
      </c>
      <c r="C170" s="24">
        <f>ID!C170</f>
        <v>0</v>
      </c>
      <c r="D170" s="23"/>
      <c r="E170" s="3"/>
      <c r="F170" s="3"/>
      <c r="G170" s="3"/>
      <c r="H170" s="24"/>
      <c r="I170" s="19"/>
      <c r="J170" s="3"/>
      <c r="K170" s="3"/>
      <c r="L170" s="3"/>
      <c r="M170" s="15"/>
      <c r="N170" s="23"/>
      <c r="O170" s="3"/>
      <c r="P170" s="3"/>
      <c r="Q170" s="3"/>
      <c r="R170" s="24"/>
      <c r="S170" s="19"/>
      <c r="T170" s="3"/>
      <c r="U170" s="3"/>
      <c r="V170" s="3"/>
      <c r="W170" s="15"/>
      <c r="X170" s="23"/>
      <c r="Y170" s="3"/>
      <c r="Z170" s="3"/>
      <c r="AA170" s="3"/>
      <c r="AB170" s="24"/>
      <c r="AC170" s="19"/>
      <c r="AD170" s="3"/>
      <c r="AE170" s="3"/>
      <c r="AF170" s="3"/>
      <c r="AG170" s="15"/>
      <c r="AH170" s="33"/>
    </row>
    <row r="171" spans="2:34" x14ac:dyDescent="0.4">
      <c r="B171" s="23">
        <f>ID!B171</f>
        <v>0</v>
      </c>
      <c r="C171" s="24">
        <f>ID!C171</f>
        <v>0</v>
      </c>
      <c r="D171" s="23"/>
      <c r="E171" s="3"/>
      <c r="F171" s="3"/>
      <c r="G171" s="3"/>
      <c r="H171" s="24"/>
      <c r="I171" s="19"/>
      <c r="J171" s="3"/>
      <c r="K171" s="3"/>
      <c r="L171" s="3"/>
      <c r="M171" s="15"/>
      <c r="N171" s="23"/>
      <c r="O171" s="3"/>
      <c r="P171" s="3"/>
      <c r="Q171" s="3"/>
      <c r="R171" s="24"/>
      <c r="S171" s="19"/>
      <c r="T171" s="3"/>
      <c r="U171" s="3"/>
      <c r="V171" s="3"/>
      <c r="W171" s="15"/>
      <c r="X171" s="23"/>
      <c r="Y171" s="3"/>
      <c r="Z171" s="3"/>
      <c r="AA171" s="3"/>
      <c r="AB171" s="24"/>
      <c r="AC171" s="19"/>
      <c r="AD171" s="3"/>
      <c r="AE171" s="3"/>
      <c r="AF171" s="3"/>
      <c r="AG171" s="15"/>
      <c r="AH171" s="33"/>
    </row>
    <row r="172" spans="2:34" x14ac:dyDescent="0.4">
      <c r="B172" s="23">
        <f>ID!B172</f>
        <v>0</v>
      </c>
      <c r="C172" s="24">
        <f>ID!C172</f>
        <v>0</v>
      </c>
      <c r="D172" s="23"/>
      <c r="E172" s="3"/>
      <c r="F172" s="3"/>
      <c r="G172" s="3"/>
      <c r="H172" s="24"/>
      <c r="I172" s="19"/>
      <c r="J172" s="3"/>
      <c r="K172" s="3"/>
      <c r="L172" s="3"/>
      <c r="M172" s="15"/>
      <c r="N172" s="23"/>
      <c r="O172" s="3"/>
      <c r="P172" s="3"/>
      <c r="Q172" s="3"/>
      <c r="R172" s="24"/>
      <c r="S172" s="19"/>
      <c r="T172" s="3"/>
      <c r="U172" s="3"/>
      <c r="V172" s="3"/>
      <c r="W172" s="15"/>
      <c r="X172" s="23"/>
      <c r="Y172" s="3"/>
      <c r="Z172" s="3"/>
      <c r="AA172" s="3"/>
      <c r="AB172" s="24"/>
      <c r="AC172" s="19"/>
      <c r="AD172" s="3"/>
      <c r="AE172" s="3"/>
      <c r="AF172" s="3"/>
      <c r="AG172" s="15"/>
      <c r="AH172" s="33"/>
    </row>
    <row r="173" spans="2:34" x14ac:dyDescent="0.4">
      <c r="B173" s="23">
        <f>ID!B173</f>
        <v>0</v>
      </c>
      <c r="C173" s="24">
        <f>ID!C173</f>
        <v>0</v>
      </c>
      <c r="D173" s="23"/>
      <c r="E173" s="3"/>
      <c r="F173" s="3"/>
      <c r="G173" s="3"/>
      <c r="H173" s="24"/>
      <c r="I173" s="19"/>
      <c r="J173" s="3"/>
      <c r="K173" s="3"/>
      <c r="L173" s="3"/>
      <c r="M173" s="15"/>
      <c r="N173" s="23"/>
      <c r="O173" s="3"/>
      <c r="P173" s="3"/>
      <c r="Q173" s="3"/>
      <c r="R173" s="24"/>
      <c r="S173" s="19"/>
      <c r="T173" s="3"/>
      <c r="U173" s="3"/>
      <c r="V173" s="3"/>
      <c r="W173" s="15"/>
      <c r="X173" s="23"/>
      <c r="Y173" s="3"/>
      <c r="Z173" s="3"/>
      <c r="AA173" s="3"/>
      <c r="AB173" s="24"/>
      <c r="AC173" s="19"/>
      <c r="AD173" s="3"/>
      <c r="AE173" s="3"/>
      <c r="AF173" s="3"/>
      <c r="AG173" s="15"/>
      <c r="AH173" s="33"/>
    </row>
    <row r="174" spans="2:34" x14ac:dyDescent="0.4">
      <c r="B174" s="23">
        <f>ID!B174</f>
        <v>0</v>
      </c>
      <c r="C174" s="24">
        <f>ID!C174</f>
        <v>0</v>
      </c>
      <c r="D174" s="23"/>
      <c r="E174" s="3"/>
      <c r="F174" s="3"/>
      <c r="G174" s="3"/>
      <c r="H174" s="24"/>
      <c r="I174" s="19"/>
      <c r="J174" s="3"/>
      <c r="K174" s="3"/>
      <c r="L174" s="3"/>
      <c r="M174" s="15"/>
      <c r="N174" s="23"/>
      <c r="O174" s="3"/>
      <c r="P174" s="3"/>
      <c r="Q174" s="3"/>
      <c r="R174" s="24"/>
      <c r="S174" s="19"/>
      <c r="T174" s="3"/>
      <c r="U174" s="3"/>
      <c r="V174" s="3"/>
      <c r="W174" s="15"/>
      <c r="X174" s="23"/>
      <c r="Y174" s="3"/>
      <c r="Z174" s="3"/>
      <c r="AA174" s="3"/>
      <c r="AB174" s="24"/>
      <c r="AC174" s="19"/>
      <c r="AD174" s="3"/>
      <c r="AE174" s="3"/>
      <c r="AF174" s="3"/>
      <c r="AG174" s="15"/>
    </row>
    <row r="175" spans="2:34" x14ac:dyDescent="0.4">
      <c r="B175" s="23">
        <f>ID!B175</f>
        <v>0</v>
      </c>
      <c r="C175" s="24">
        <f>ID!C175</f>
        <v>0</v>
      </c>
      <c r="D175" s="23"/>
      <c r="E175" s="3"/>
      <c r="F175" s="3"/>
      <c r="G175" s="3"/>
      <c r="H175" s="24"/>
      <c r="I175" s="19"/>
      <c r="J175" s="3"/>
      <c r="K175" s="3"/>
      <c r="L175" s="3"/>
      <c r="M175" s="15"/>
      <c r="N175" s="23"/>
      <c r="O175" s="3"/>
      <c r="P175" s="3"/>
      <c r="Q175" s="3"/>
      <c r="R175" s="24"/>
      <c r="S175" s="19"/>
      <c r="T175" s="3"/>
      <c r="U175" s="3"/>
      <c r="V175" s="3"/>
      <c r="W175" s="15"/>
      <c r="X175" s="23"/>
      <c r="Y175" s="3"/>
      <c r="Z175" s="3"/>
      <c r="AA175" s="3"/>
      <c r="AB175" s="24"/>
      <c r="AC175" s="19"/>
      <c r="AD175" s="3"/>
      <c r="AE175" s="3"/>
      <c r="AF175" s="3"/>
      <c r="AG175" s="15"/>
    </row>
    <row r="176" spans="2:34" x14ac:dyDescent="0.4">
      <c r="B176" s="23">
        <f>ID!B176</f>
        <v>0</v>
      </c>
      <c r="C176" s="24">
        <f>ID!C176</f>
        <v>0</v>
      </c>
      <c r="D176" s="23"/>
      <c r="E176" s="3"/>
      <c r="F176" s="3"/>
      <c r="G176" s="3"/>
      <c r="H176" s="24"/>
      <c r="I176" s="19"/>
      <c r="J176" s="3"/>
      <c r="K176" s="3"/>
      <c r="L176" s="3"/>
      <c r="M176" s="15"/>
      <c r="N176" s="23"/>
      <c r="O176" s="3"/>
      <c r="P176" s="3"/>
      <c r="Q176" s="3"/>
      <c r="R176" s="24"/>
      <c r="S176" s="19"/>
      <c r="T176" s="3"/>
      <c r="U176" s="3"/>
      <c r="V176" s="3"/>
      <c r="W176" s="15"/>
      <c r="X176" s="23"/>
      <c r="Y176" s="3"/>
      <c r="Z176" s="3"/>
      <c r="AA176" s="3"/>
      <c r="AB176" s="24"/>
      <c r="AC176" s="19"/>
      <c r="AD176" s="3"/>
      <c r="AE176" s="3"/>
      <c r="AF176" s="3"/>
      <c r="AG176" s="15"/>
    </row>
    <row r="177" spans="2:33" x14ac:dyDescent="0.4">
      <c r="B177" s="23">
        <f>ID!B177</f>
        <v>0</v>
      </c>
      <c r="C177" s="24">
        <f>ID!C177</f>
        <v>0</v>
      </c>
      <c r="D177" s="23"/>
      <c r="E177" s="3"/>
      <c r="F177" s="3"/>
      <c r="G177" s="3"/>
      <c r="H177" s="24"/>
      <c r="I177" s="19"/>
      <c r="J177" s="3"/>
      <c r="K177" s="3"/>
      <c r="L177" s="3"/>
      <c r="M177" s="15"/>
      <c r="N177" s="23"/>
      <c r="O177" s="3"/>
      <c r="P177" s="3"/>
      <c r="Q177" s="3"/>
      <c r="R177" s="24"/>
      <c r="S177" s="19"/>
      <c r="T177" s="3"/>
      <c r="U177" s="3"/>
      <c r="V177" s="3"/>
      <c r="W177" s="15"/>
      <c r="X177" s="23"/>
      <c r="Y177" s="3"/>
      <c r="Z177" s="3"/>
      <c r="AA177" s="3"/>
      <c r="AB177" s="24"/>
      <c r="AC177" s="19"/>
      <c r="AD177" s="3"/>
      <c r="AE177" s="3"/>
      <c r="AF177" s="3"/>
      <c r="AG177" s="15"/>
    </row>
    <row r="178" spans="2:33" x14ac:dyDescent="0.4">
      <c r="B178" s="23">
        <f>ID!B178</f>
        <v>0</v>
      </c>
      <c r="C178" s="24">
        <f>ID!C178</f>
        <v>0</v>
      </c>
      <c r="D178" s="23"/>
      <c r="E178" s="3"/>
      <c r="F178" s="3"/>
      <c r="G178" s="3"/>
      <c r="H178" s="24"/>
      <c r="I178" s="19"/>
      <c r="J178" s="3"/>
      <c r="K178" s="3"/>
      <c r="L178" s="3"/>
      <c r="M178" s="15"/>
      <c r="N178" s="23"/>
      <c r="O178" s="3"/>
      <c r="P178" s="3"/>
      <c r="Q178" s="3"/>
      <c r="R178" s="24"/>
      <c r="S178" s="19"/>
      <c r="T178" s="3"/>
      <c r="U178" s="3"/>
      <c r="V178" s="3"/>
      <c r="W178" s="15"/>
      <c r="X178" s="23"/>
      <c r="Y178" s="3"/>
      <c r="Z178" s="3"/>
      <c r="AA178" s="3"/>
      <c r="AB178" s="24"/>
      <c r="AC178" s="19"/>
      <c r="AD178" s="3"/>
      <c r="AE178" s="3"/>
      <c r="AF178" s="3"/>
      <c r="AG178" s="15"/>
    </row>
    <row r="179" spans="2:33" x14ac:dyDescent="0.4">
      <c r="B179" s="23">
        <f>ID!B179</f>
        <v>0</v>
      </c>
      <c r="C179" s="24">
        <f>ID!C179</f>
        <v>0</v>
      </c>
      <c r="D179" s="23"/>
      <c r="E179" s="3"/>
      <c r="F179" s="3"/>
      <c r="G179" s="3"/>
      <c r="H179" s="24"/>
      <c r="I179" s="19"/>
      <c r="J179" s="3"/>
      <c r="K179" s="3"/>
      <c r="L179" s="3"/>
      <c r="M179" s="15"/>
      <c r="N179" s="23"/>
      <c r="O179" s="3"/>
      <c r="P179" s="3"/>
      <c r="Q179" s="3"/>
      <c r="R179" s="24"/>
      <c r="S179" s="19"/>
      <c r="T179" s="3"/>
      <c r="U179" s="3"/>
      <c r="V179" s="3"/>
      <c r="W179" s="15"/>
      <c r="X179" s="23"/>
      <c r="Y179" s="3"/>
      <c r="Z179" s="3"/>
      <c r="AA179" s="3"/>
      <c r="AB179" s="24"/>
      <c r="AC179" s="19"/>
      <c r="AD179" s="3"/>
      <c r="AE179" s="3"/>
      <c r="AF179" s="3"/>
      <c r="AG179" s="15"/>
    </row>
    <row r="180" spans="2:33" x14ac:dyDescent="0.4">
      <c r="B180" s="23">
        <f>ID!B180</f>
        <v>0</v>
      </c>
      <c r="C180" s="24">
        <f>ID!C180</f>
        <v>0</v>
      </c>
      <c r="D180" s="23"/>
      <c r="E180" s="3"/>
      <c r="F180" s="3"/>
      <c r="G180" s="3"/>
      <c r="H180" s="24"/>
      <c r="I180" s="19"/>
      <c r="J180" s="3"/>
      <c r="K180" s="3"/>
      <c r="L180" s="3"/>
      <c r="M180" s="15"/>
      <c r="N180" s="23"/>
      <c r="O180" s="3"/>
      <c r="P180" s="3"/>
      <c r="Q180" s="3"/>
      <c r="R180" s="24"/>
      <c r="S180" s="19"/>
      <c r="T180" s="3"/>
      <c r="U180" s="3"/>
      <c r="V180" s="3"/>
      <c r="W180" s="15"/>
      <c r="X180" s="23"/>
      <c r="Y180" s="3"/>
      <c r="Z180" s="3"/>
      <c r="AA180" s="3"/>
      <c r="AB180" s="24"/>
      <c r="AC180" s="19"/>
      <c r="AD180" s="3"/>
      <c r="AE180" s="3"/>
      <c r="AF180" s="3"/>
      <c r="AG180" s="15"/>
    </row>
    <row r="181" spans="2:33" x14ac:dyDescent="0.4">
      <c r="B181" s="23">
        <f>ID!B181</f>
        <v>0</v>
      </c>
      <c r="C181" s="24">
        <f>ID!C181</f>
        <v>0</v>
      </c>
      <c r="D181" s="23"/>
      <c r="E181" s="3"/>
      <c r="F181" s="3"/>
      <c r="G181" s="3"/>
      <c r="H181" s="24"/>
      <c r="I181" s="19"/>
      <c r="J181" s="3"/>
      <c r="K181" s="3"/>
      <c r="L181" s="3"/>
      <c r="M181" s="15"/>
      <c r="N181" s="23"/>
      <c r="O181" s="3"/>
      <c r="P181" s="3"/>
      <c r="Q181" s="3"/>
      <c r="R181" s="24"/>
      <c r="S181" s="19"/>
      <c r="T181" s="3"/>
      <c r="U181" s="3"/>
      <c r="V181" s="3"/>
      <c r="W181" s="15"/>
      <c r="X181" s="23"/>
      <c r="Y181" s="3"/>
      <c r="Z181" s="3"/>
      <c r="AA181" s="3"/>
      <c r="AB181" s="24"/>
      <c r="AC181" s="19"/>
      <c r="AD181" s="3"/>
      <c r="AE181" s="3"/>
      <c r="AF181" s="3"/>
      <c r="AG181" s="15"/>
    </row>
    <row r="182" spans="2:33" x14ac:dyDescent="0.4">
      <c r="B182" s="23">
        <f>ID!B182</f>
        <v>0</v>
      </c>
      <c r="C182" s="24">
        <f>ID!C182</f>
        <v>0</v>
      </c>
      <c r="D182" s="23"/>
      <c r="E182" s="3"/>
      <c r="F182" s="3"/>
      <c r="G182" s="3"/>
      <c r="H182" s="24"/>
      <c r="I182" s="19"/>
      <c r="J182" s="3"/>
      <c r="K182" s="3"/>
      <c r="L182" s="3"/>
      <c r="M182" s="15"/>
      <c r="N182" s="23"/>
      <c r="O182" s="3"/>
      <c r="P182" s="3"/>
      <c r="Q182" s="3"/>
      <c r="R182" s="24"/>
      <c r="S182" s="19"/>
      <c r="T182" s="3"/>
      <c r="U182" s="3"/>
      <c r="V182" s="3"/>
      <c r="W182" s="15"/>
      <c r="X182" s="23"/>
      <c r="Y182" s="3"/>
      <c r="Z182" s="3"/>
      <c r="AA182" s="3"/>
      <c r="AB182" s="24"/>
      <c r="AC182" s="19"/>
      <c r="AD182" s="3"/>
      <c r="AE182" s="3"/>
      <c r="AF182" s="3"/>
      <c r="AG182" s="15"/>
    </row>
    <row r="183" spans="2:33" x14ac:dyDescent="0.4">
      <c r="B183" s="23">
        <f>ID!B183</f>
        <v>0</v>
      </c>
      <c r="C183" s="24">
        <f>ID!C183</f>
        <v>0</v>
      </c>
      <c r="D183" s="23"/>
      <c r="E183" s="3"/>
      <c r="F183" s="3"/>
      <c r="G183" s="3"/>
      <c r="H183" s="24"/>
      <c r="I183" s="19"/>
      <c r="J183" s="3"/>
      <c r="K183" s="3"/>
      <c r="L183" s="3"/>
      <c r="M183" s="15"/>
      <c r="N183" s="23"/>
      <c r="O183" s="3"/>
      <c r="P183" s="3"/>
      <c r="Q183" s="3"/>
      <c r="R183" s="24"/>
      <c r="S183" s="19"/>
      <c r="T183" s="3"/>
      <c r="U183" s="3"/>
      <c r="V183" s="3"/>
      <c r="W183" s="15"/>
      <c r="X183" s="23"/>
      <c r="Y183" s="3"/>
      <c r="Z183" s="3"/>
      <c r="AA183" s="3"/>
      <c r="AB183" s="24"/>
      <c r="AC183" s="19"/>
      <c r="AD183" s="3"/>
      <c r="AE183" s="3"/>
      <c r="AF183" s="3"/>
      <c r="AG183" s="15"/>
    </row>
    <row r="184" spans="2:33" x14ac:dyDescent="0.4">
      <c r="B184" s="23">
        <f>ID!B184</f>
        <v>0</v>
      </c>
      <c r="C184" s="24">
        <f>ID!C184</f>
        <v>0</v>
      </c>
      <c r="D184" s="23"/>
      <c r="E184" s="3"/>
      <c r="F184" s="3"/>
      <c r="G184" s="3"/>
      <c r="H184" s="24"/>
      <c r="I184" s="19"/>
      <c r="J184" s="3"/>
      <c r="K184" s="3"/>
      <c r="L184" s="3"/>
      <c r="M184" s="15"/>
      <c r="N184" s="23"/>
      <c r="O184" s="3"/>
      <c r="P184" s="3"/>
      <c r="Q184" s="3"/>
      <c r="R184" s="24"/>
      <c r="S184" s="19"/>
      <c r="T184" s="3"/>
      <c r="U184" s="3"/>
      <c r="V184" s="3"/>
      <c r="W184" s="15"/>
      <c r="X184" s="23"/>
      <c r="Y184" s="3"/>
      <c r="Z184" s="3"/>
      <c r="AA184" s="3"/>
      <c r="AB184" s="24"/>
      <c r="AC184" s="19"/>
      <c r="AD184" s="3"/>
      <c r="AE184" s="3"/>
      <c r="AF184" s="3"/>
      <c r="AG184" s="15"/>
    </row>
    <row r="185" spans="2:33" x14ac:dyDescent="0.4">
      <c r="B185" s="23">
        <f>ID!B185</f>
        <v>0</v>
      </c>
      <c r="C185" s="24">
        <f>ID!C185</f>
        <v>0</v>
      </c>
      <c r="D185" s="23"/>
      <c r="E185" s="3"/>
      <c r="F185" s="3"/>
      <c r="G185" s="3"/>
      <c r="H185" s="24"/>
      <c r="I185" s="19"/>
      <c r="J185" s="3"/>
      <c r="K185" s="3"/>
      <c r="L185" s="3"/>
      <c r="M185" s="15"/>
      <c r="N185" s="23"/>
      <c r="O185" s="3"/>
      <c r="P185" s="3"/>
      <c r="Q185" s="3"/>
      <c r="R185" s="24"/>
      <c r="S185" s="19"/>
      <c r="T185" s="3"/>
      <c r="U185" s="3"/>
      <c r="V185" s="3"/>
      <c r="W185" s="15"/>
      <c r="X185" s="23"/>
      <c r="Y185" s="3"/>
      <c r="Z185" s="3"/>
      <c r="AA185" s="3"/>
      <c r="AB185" s="24"/>
      <c r="AC185" s="19"/>
      <c r="AD185" s="3"/>
      <c r="AE185" s="3"/>
      <c r="AF185" s="3"/>
      <c r="AG185" s="15"/>
    </row>
    <row r="186" spans="2:33" x14ac:dyDescent="0.4">
      <c r="B186" s="23">
        <f>ID!B186</f>
        <v>0</v>
      </c>
      <c r="C186" s="24">
        <f>ID!C186</f>
        <v>0</v>
      </c>
      <c r="D186" s="23"/>
      <c r="E186" s="3"/>
      <c r="F186" s="3"/>
      <c r="G186" s="3"/>
      <c r="H186" s="24"/>
      <c r="I186" s="19"/>
      <c r="J186" s="3"/>
      <c r="K186" s="3"/>
      <c r="L186" s="3"/>
      <c r="M186" s="15"/>
      <c r="N186" s="23"/>
      <c r="O186" s="3"/>
      <c r="P186" s="3"/>
      <c r="Q186" s="3"/>
      <c r="R186" s="24"/>
      <c r="S186" s="19"/>
      <c r="T186" s="3"/>
      <c r="U186" s="3"/>
      <c r="V186" s="3"/>
      <c r="W186" s="15"/>
      <c r="X186" s="23"/>
      <c r="Y186" s="3"/>
      <c r="Z186" s="3"/>
      <c r="AA186" s="3"/>
      <c r="AB186" s="24"/>
      <c r="AC186" s="19"/>
      <c r="AD186" s="3"/>
      <c r="AE186" s="3"/>
      <c r="AF186" s="3"/>
      <c r="AG186" s="15"/>
    </row>
    <row r="187" spans="2:33" x14ac:dyDescent="0.4">
      <c r="B187" s="23">
        <f>ID!B187</f>
        <v>0</v>
      </c>
      <c r="C187" s="24">
        <f>ID!C187</f>
        <v>0</v>
      </c>
      <c r="D187" s="23"/>
      <c r="E187" s="3"/>
      <c r="F187" s="3"/>
      <c r="G187" s="3"/>
      <c r="H187" s="24"/>
      <c r="I187" s="19"/>
      <c r="J187" s="3"/>
      <c r="K187" s="3"/>
      <c r="L187" s="3"/>
      <c r="M187" s="15"/>
      <c r="N187" s="23"/>
      <c r="O187" s="3"/>
      <c r="P187" s="3"/>
      <c r="Q187" s="3"/>
      <c r="R187" s="24"/>
      <c r="S187" s="19"/>
      <c r="T187" s="3"/>
      <c r="U187" s="3"/>
      <c r="V187" s="3"/>
      <c r="W187" s="15"/>
      <c r="X187" s="23"/>
      <c r="Y187" s="3"/>
      <c r="Z187" s="3"/>
      <c r="AA187" s="3"/>
      <c r="AB187" s="24"/>
      <c r="AC187" s="19"/>
      <c r="AD187" s="3"/>
      <c r="AE187" s="3"/>
      <c r="AF187" s="3"/>
      <c r="AG187" s="15"/>
    </row>
    <row r="188" spans="2:33" x14ac:dyDescent="0.4">
      <c r="B188" s="23">
        <f>ID!B188</f>
        <v>0</v>
      </c>
      <c r="C188" s="24">
        <f>ID!C188</f>
        <v>0</v>
      </c>
      <c r="D188" s="23"/>
      <c r="E188" s="3"/>
      <c r="F188" s="3"/>
      <c r="G188" s="3"/>
      <c r="H188" s="24"/>
      <c r="I188" s="19"/>
      <c r="J188" s="3"/>
      <c r="K188" s="3"/>
      <c r="L188" s="3"/>
      <c r="M188" s="15"/>
      <c r="N188" s="23"/>
      <c r="O188" s="3"/>
      <c r="P188" s="3"/>
      <c r="Q188" s="3"/>
      <c r="R188" s="24"/>
      <c r="S188" s="19"/>
      <c r="T188" s="3"/>
      <c r="U188" s="3"/>
      <c r="V188" s="3"/>
      <c r="W188" s="15"/>
      <c r="X188" s="23"/>
      <c r="Y188" s="3"/>
      <c r="Z188" s="3"/>
      <c r="AA188" s="3"/>
      <c r="AB188" s="24"/>
      <c r="AC188" s="19"/>
      <c r="AD188" s="3"/>
      <c r="AE188" s="3"/>
      <c r="AF188" s="3"/>
      <c r="AG188" s="15"/>
    </row>
    <row r="189" spans="2:33" x14ac:dyDescent="0.4">
      <c r="B189" s="23">
        <f>ID!B189</f>
        <v>0</v>
      </c>
      <c r="C189" s="24">
        <f>ID!C189</f>
        <v>0</v>
      </c>
      <c r="D189" s="23"/>
      <c r="E189" s="3"/>
      <c r="F189" s="3"/>
      <c r="G189" s="3"/>
      <c r="H189" s="24"/>
      <c r="I189" s="19"/>
      <c r="J189" s="3"/>
      <c r="K189" s="3"/>
      <c r="L189" s="3"/>
      <c r="M189" s="15"/>
      <c r="N189" s="23"/>
      <c r="O189" s="3"/>
      <c r="P189" s="3"/>
      <c r="Q189" s="3"/>
      <c r="R189" s="24"/>
      <c r="S189" s="19"/>
      <c r="T189" s="3"/>
      <c r="U189" s="3"/>
      <c r="V189" s="3"/>
      <c r="W189" s="15"/>
      <c r="X189" s="23"/>
      <c r="Y189" s="3"/>
      <c r="Z189" s="3"/>
      <c r="AA189" s="3"/>
      <c r="AB189" s="24"/>
      <c r="AC189" s="19"/>
      <c r="AD189" s="3"/>
      <c r="AE189" s="3"/>
      <c r="AF189" s="3"/>
      <c r="AG189" s="15"/>
    </row>
    <row r="190" spans="2:33" x14ac:dyDescent="0.4">
      <c r="B190" s="23">
        <f>ID!B190</f>
        <v>0</v>
      </c>
      <c r="C190" s="24">
        <f>ID!C190</f>
        <v>0</v>
      </c>
      <c r="D190" s="23"/>
      <c r="E190" s="3"/>
      <c r="F190" s="3"/>
      <c r="G190" s="3"/>
      <c r="H190" s="24"/>
      <c r="I190" s="19"/>
      <c r="J190" s="3"/>
      <c r="K190" s="3"/>
      <c r="L190" s="3"/>
      <c r="M190" s="15"/>
      <c r="N190" s="23"/>
      <c r="O190" s="3"/>
      <c r="P190" s="3"/>
      <c r="Q190" s="3"/>
      <c r="R190" s="24"/>
      <c r="S190" s="19"/>
      <c r="T190" s="3"/>
      <c r="U190" s="3"/>
      <c r="V190" s="3"/>
      <c r="W190" s="15"/>
      <c r="X190" s="23"/>
      <c r="Y190" s="3"/>
      <c r="Z190" s="3"/>
      <c r="AA190" s="3"/>
      <c r="AB190" s="24"/>
      <c r="AC190" s="19"/>
      <c r="AD190" s="3"/>
      <c r="AE190" s="3"/>
      <c r="AF190" s="3"/>
      <c r="AG190" s="15"/>
    </row>
    <row r="191" spans="2:33" x14ac:dyDescent="0.4">
      <c r="B191" s="23">
        <f>ID!B191</f>
        <v>0</v>
      </c>
      <c r="C191" s="24">
        <f>ID!C191</f>
        <v>0</v>
      </c>
      <c r="D191" s="23"/>
      <c r="E191" s="3"/>
      <c r="F191" s="3"/>
      <c r="G191" s="3"/>
      <c r="H191" s="24"/>
      <c r="I191" s="19"/>
      <c r="J191" s="3"/>
      <c r="K191" s="3"/>
      <c r="L191" s="3"/>
      <c r="M191" s="15"/>
      <c r="N191" s="23"/>
      <c r="O191" s="3"/>
      <c r="P191" s="3"/>
      <c r="Q191" s="3"/>
      <c r="R191" s="24"/>
      <c r="S191" s="19"/>
      <c r="T191" s="3"/>
      <c r="U191" s="3"/>
      <c r="V191" s="3"/>
      <c r="W191" s="15"/>
      <c r="X191" s="23"/>
      <c r="Y191" s="3"/>
      <c r="Z191" s="3"/>
      <c r="AA191" s="3"/>
      <c r="AB191" s="24"/>
      <c r="AC191" s="19"/>
      <c r="AD191" s="3"/>
      <c r="AE191" s="3"/>
      <c r="AF191" s="3"/>
      <c r="AG191" s="15"/>
    </row>
    <row r="192" spans="2:33" x14ac:dyDescent="0.4">
      <c r="B192" s="23">
        <f>ID!B192</f>
        <v>0</v>
      </c>
      <c r="C192" s="24">
        <f>ID!C192</f>
        <v>0</v>
      </c>
      <c r="D192" s="23"/>
      <c r="E192" s="3"/>
      <c r="F192" s="3"/>
      <c r="G192" s="3"/>
      <c r="H192" s="24"/>
      <c r="I192" s="19"/>
      <c r="J192" s="3"/>
      <c r="K192" s="3"/>
      <c r="L192" s="3"/>
      <c r="M192" s="15"/>
      <c r="N192" s="23"/>
      <c r="O192" s="3"/>
      <c r="P192" s="3"/>
      <c r="Q192" s="3"/>
      <c r="R192" s="24"/>
      <c r="S192" s="19"/>
      <c r="T192" s="3"/>
      <c r="U192" s="3"/>
      <c r="V192" s="3"/>
      <c r="W192" s="15"/>
      <c r="X192" s="23"/>
      <c r="Y192" s="3"/>
      <c r="Z192" s="3"/>
      <c r="AA192" s="3"/>
      <c r="AB192" s="24"/>
      <c r="AC192" s="19"/>
      <c r="AD192" s="3"/>
      <c r="AE192" s="3"/>
      <c r="AF192" s="3"/>
      <c r="AG192" s="15"/>
    </row>
    <row r="193" spans="2:33" x14ac:dyDescent="0.4">
      <c r="B193" s="23">
        <f>ID!B193</f>
        <v>0</v>
      </c>
      <c r="C193" s="24">
        <f>ID!C193</f>
        <v>0</v>
      </c>
      <c r="D193" s="23"/>
      <c r="E193" s="3"/>
      <c r="F193" s="3"/>
      <c r="G193" s="3"/>
      <c r="H193" s="24"/>
      <c r="I193" s="19"/>
      <c r="J193" s="3"/>
      <c r="K193" s="3"/>
      <c r="L193" s="3"/>
      <c r="M193" s="15"/>
      <c r="N193" s="23"/>
      <c r="O193" s="3"/>
      <c r="P193" s="3"/>
      <c r="Q193" s="3"/>
      <c r="R193" s="24"/>
      <c r="S193" s="19"/>
      <c r="T193" s="3"/>
      <c r="U193" s="3"/>
      <c r="V193" s="3"/>
      <c r="W193" s="15"/>
      <c r="X193" s="23"/>
      <c r="Y193" s="3"/>
      <c r="Z193" s="3"/>
      <c r="AA193" s="3"/>
      <c r="AB193" s="24"/>
      <c r="AC193" s="19"/>
      <c r="AD193" s="3"/>
      <c r="AE193" s="3"/>
      <c r="AF193" s="3"/>
      <c r="AG193" s="15"/>
    </row>
    <row r="194" spans="2:33" x14ac:dyDescent="0.4">
      <c r="B194" s="23">
        <f>ID!B194</f>
        <v>0</v>
      </c>
      <c r="C194" s="24">
        <f>ID!C194</f>
        <v>0</v>
      </c>
      <c r="D194" s="23"/>
      <c r="E194" s="3"/>
      <c r="F194" s="3"/>
      <c r="G194" s="3"/>
      <c r="H194" s="24"/>
      <c r="I194" s="19"/>
      <c r="J194" s="3"/>
      <c r="K194" s="3"/>
      <c r="L194" s="3"/>
      <c r="M194" s="15"/>
      <c r="N194" s="23"/>
      <c r="O194" s="3"/>
      <c r="P194" s="3"/>
      <c r="Q194" s="3"/>
      <c r="R194" s="24"/>
      <c r="S194" s="19"/>
      <c r="T194" s="3"/>
      <c r="U194" s="3"/>
      <c r="V194" s="3"/>
      <c r="W194" s="15"/>
      <c r="X194" s="23"/>
      <c r="Y194" s="3"/>
      <c r="Z194" s="3"/>
      <c r="AA194" s="3"/>
      <c r="AB194" s="24"/>
      <c r="AC194" s="19"/>
      <c r="AD194" s="3"/>
      <c r="AE194" s="3"/>
      <c r="AF194" s="3"/>
      <c r="AG194" s="15"/>
    </row>
    <row r="195" spans="2:33" x14ac:dyDescent="0.4">
      <c r="B195" s="23">
        <f>ID!B195</f>
        <v>0</v>
      </c>
      <c r="C195" s="24">
        <f>ID!C195</f>
        <v>0</v>
      </c>
      <c r="D195" s="23"/>
      <c r="E195" s="3"/>
      <c r="F195" s="3"/>
      <c r="G195" s="3"/>
      <c r="H195" s="24"/>
      <c r="I195" s="19"/>
      <c r="J195" s="3"/>
      <c r="K195" s="3"/>
      <c r="L195" s="3"/>
      <c r="M195" s="15"/>
      <c r="N195" s="23"/>
      <c r="O195" s="3"/>
      <c r="P195" s="3"/>
      <c r="Q195" s="3"/>
      <c r="R195" s="24"/>
      <c r="S195" s="19"/>
      <c r="T195" s="3"/>
      <c r="U195" s="3"/>
      <c r="V195" s="3"/>
      <c r="W195" s="15"/>
      <c r="X195" s="23"/>
      <c r="Y195" s="3"/>
      <c r="Z195" s="3"/>
      <c r="AA195" s="3"/>
      <c r="AB195" s="24"/>
      <c r="AC195" s="19"/>
      <c r="AD195" s="3"/>
      <c r="AE195" s="3"/>
      <c r="AF195" s="3"/>
      <c r="AG195" s="15"/>
    </row>
    <row r="196" spans="2:33" x14ac:dyDescent="0.4">
      <c r="B196" s="23">
        <f>ID!B196</f>
        <v>0</v>
      </c>
      <c r="C196" s="24">
        <f>ID!C196</f>
        <v>0</v>
      </c>
      <c r="D196" s="23"/>
      <c r="E196" s="3"/>
      <c r="F196" s="3"/>
      <c r="G196" s="3"/>
      <c r="H196" s="24"/>
      <c r="I196" s="19"/>
      <c r="J196" s="3"/>
      <c r="K196" s="3"/>
      <c r="L196" s="3"/>
      <c r="M196" s="15"/>
      <c r="N196" s="23"/>
      <c r="O196" s="3"/>
      <c r="P196" s="3"/>
      <c r="Q196" s="3"/>
      <c r="R196" s="24"/>
      <c r="S196" s="19"/>
      <c r="T196" s="3"/>
      <c r="U196" s="3"/>
      <c r="V196" s="3"/>
      <c r="W196" s="15"/>
      <c r="X196" s="23"/>
      <c r="Y196" s="3"/>
      <c r="Z196" s="3"/>
      <c r="AA196" s="3"/>
      <c r="AB196" s="24"/>
      <c r="AC196" s="19"/>
      <c r="AD196" s="3"/>
      <c r="AE196" s="3"/>
      <c r="AF196" s="3"/>
      <c r="AG196" s="15"/>
    </row>
    <row r="197" spans="2:33" x14ac:dyDescent="0.4">
      <c r="B197" s="23">
        <f>ID!B197</f>
        <v>0</v>
      </c>
      <c r="C197" s="24">
        <f>ID!C197</f>
        <v>0</v>
      </c>
      <c r="D197" s="23"/>
      <c r="E197" s="3"/>
      <c r="F197" s="3"/>
      <c r="G197" s="3"/>
      <c r="H197" s="24"/>
      <c r="I197" s="19"/>
      <c r="J197" s="3"/>
      <c r="K197" s="3"/>
      <c r="L197" s="3"/>
      <c r="M197" s="15"/>
      <c r="N197" s="23"/>
      <c r="O197" s="3"/>
      <c r="P197" s="3"/>
      <c r="Q197" s="3"/>
      <c r="R197" s="24"/>
      <c r="S197" s="19"/>
      <c r="T197" s="3"/>
      <c r="U197" s="3"/>
      <c r="V197" s="3"/>
      <c r="W197" s="15"/>
      <c r="X197" s="23"/>
      <c r="Y197" s="3"/>
      <c r="Z197" s="3"/>
      <c r="AA197" s="3"/>
      <c r="AB197" s="24"/>
      <c r="AC197" s="19"/>
      <c r="AD197" s="3"/>
      <c r="AE197" s="3"/>
      <c r="AF197" s="3"/>
      <c r="AG197" s="15"/>
    </row>
    <row r="198" spans="2:33" x14ac:dyDescent="0.4">
      <c r="B198" s="23">
        <f>ID!B198</f>
        <v>0</v>
      </c>
      <c r="C198" s="24">
        <f>ID!C198</f>
        <v>0</v>
      </c>
      <c r="D198" s="23"/>
      <c r="E198" s="3"/>
      <c r="F198" s="3"/>
      <c r="G198" s="3"/>
      <c r="H198" s="24"/>
      <c r="I198" s="19"/>
      <c r="J198" s="3"/>
      <c r="K198" s="3"/>
      <c r="L198" s="3"/>
      <c r="M198" s="15"/>
      <c r="N198" s="23"/>
      <c r="O198" s="3"/>
      <c r="P198" s="3"/>
      <c r="Q198" s="3"/>
      <c r="R198" s="24"/>
      <c r="S198" s="19"/>
      <c r="T198" s="3"/>
      <c r="U198" s="3"/>
      <c r="V198" s="3"/>
      <c r="W198" s="15"/>
      <c r="X198" s="23"/>
      <c r="Y198" s="3"/>
      <c r="Z198" s="3"/>
      <c r="AA198" s="3"/>
      <c r="AB198" s="24"/>
      <c r="AC198" s="19"/>
      <c r="AD198" s="3"/>
      <c r="AE198" s="3"/>
      <c r="AF198" s="3"/>
      <c r="AG198" s="15"/>
    </row>
    <row r="199" spans="2:33" x14ac:dyDescent="0.4">
      <c r="B199" s="23">
        <f>ID!B199</f>
        <v>0</v>
      </c>
      <c r="C199" s="24">
        <f>ID!C199</f>
        <v>0</v>
      </c>
      <c r="D199" s="23"/>
      <c r="E199" s="3"/>
      <c r="F199" s="3"/>
      <c r="G199" s="3"/>
      <c r="H199" s="24"/>
      <c r="I199" s="19"/>
      <c r="J199" s="3"/>
      <c r="K199" s="3"/>
      <c r="L199" s="3"/>
      <c r="M199" s="15"/>
      <c r="N199" s="23"/>
      <c r="O199" s="3"/>
      <c r="P199" s="3"/>
      <c r="Q199" s="3"/>
      <c r="R199" s="24"/>
      <c r="S199" s="19"/>
      <c r="T199" s="3"/>
      <c r="U199" s="3"/>
      <c r="V199" s="3"/>
      <c r="W199" s="15"/>
      <c r="X199" s="23"/>
      <c r="Y199" s="3"/>
      <c r="Z199" s="3"/>
      <c r="AA199" s="3"/>
      <c r="AB199" s="24"/>
      <c r="AC199" s="19"/>
      <c r="AD199" s="3"/>
      <c r="AE199" s="3"/>
      <c r="AF199" s="3"/>
      <c r="AG199" s="15"/>
    </row>
    <row r="200" spans="2:33" x14ac:dyDescent="0.4">
      <c r="B200" s="23">
        <f>ID!B200</f>
        <v>0</v>
      </c>
      <c r="C200" s="24">
        <f>ID!C200</f>
        <v>0</v>
      </c>
      <c r="D200" s="23"/>
      <c r="E200" s="3"/>
      <c r="F200" s="3"/>
      <c r="G200" s="3"/>
      <c r="H200" s="24"/>
      <c r="I200" s="19"/>
      <c r="J200" s="3"/>
      <c r="K200" s="3"/>
      <c r="L200" s="3"/>
      <c r="M200" s="15"/>
      <c r="N200" s="23"/>
      <c r="O200" s="3"/>
      <c r="P200" s="3"/>
      <c r="Q200" s="3"/>
      <c r="R200" s="24"/>
      <c r="S200" s="19"/>
      <c r="T200" s="3"/>
      <c r="U200" s="3"/>
      <c r="V200" s="3"/>
      <c r="W200" s="15"/>
      <c r="X200" s="23"/>
      <c r="Y200" s="3"/>
      <c r="Z200" s="3"/>
      <c r="AA200" s="3"/>
      <c r="AB200" s="24"/>
      <c r="AC200" s="19"/>
      <c r="AD200" s="3"/>
      <c r="AE200" s="3"/>
      <c r="AF200" s="3"/>
      <c r="AG200" s="15"/>
    </row>
    <row r="201" spans="2:33" x14ac:dyDescent="0.4">
      <c r="B201" s="23">
        <f>ID!B201</f>
        <v>0</v>
      </c>
      <c r="C201" s="24">
        <f>ID!C201</f>
        <v>0</v>
      </c>
      <c r="D201" s="23"/>
      <c r="E201" s="3"/>
      <c r="F201" s="3"/>
      <c r="G201" s="3"/>
      <c r="H201" s="24"/>
      <c r="I201" s="19"/>
      <c r="J201" s="3"/>
      <c r="K201" s="3"/>
      <c r="L201" s="3"/>
      <c r="M201" s="15"/>
      <c r="N201" s="23"/>
      <c r="O201" s="3"/>
      <c r="P201" s="3"/>
      <c r="Q201" s="3"/>
      <c r="R201" s="24"/>
      <c r="S201" s="19"/>
      <c r="T201" s="3"/>
      <c r="U201" s="3"/>
      <c r="V201" s="3"/>
      <c r="W201" s="15"/>
      <c r="X201" s="23"/>
      <c r="Y201" s="3"/>
      <c r="Z201" s="3"/>
      <c r="AA201" s="3"/>
      <c r="AB201" s="24"/>
      <c r="AC201" s="19"/>
      <c r="AD201" s="3"/>
      <c r="AE201" s="3"/>
      <c r="AF201" s="3"/>
      <c r="AG201" s="15"/>
    </row>
    <row r="202" spans="2:33" x14ac:dyDescent="0.4">
      <c r="B202" s="23">
        <f>ID!B202</f>
        <v>0</v>
      </c>
      <c r="C202" s="24">
        <f>ID!C202</f>
        <v>0</v>
      </c>
      <c r="D202" s="23"/>
      <c r="E202" s="3"/>
      <c r="F202" s="3"/>
      <c r="G202" s="3"/>
      <c r="H202" s="24"/>
      <c r="I202" s="19"/>
      <c r="J202" s="3"/>
      <c r="K202" s="3"/>
      <c r="L202" s="3"/>
      <c r="M202" s="15"/>
      <c r="N202" s="23"/>
      <c r="O202" s="3"/>
      <c r="P202" s="3"/>
      <c r="Q202" s="3"/>
      <c r="R202" s="24"/>
      <c r="S202" s="19"/>
      <c r="T202" s="3"/>
      <c r="U202" s="3"/>
      <c r="V202" s="3"/>
      <c r="W202" s="15"/>
      <c r="X202" s="23"/>
      <c r="Y202" s="3"/>
      <c r="Z202" s="3"/>
      <c r="AA202" s="3"/>
      <c r="AB202" s="24"/>
      <c r="AC202" s="19"/>
      <c r="AD202" s="3"/>
      <c r="AE202" s="3"/>
      <c r="AF202" s="3"/>
      <c r="AG202" s="15"/>
    </row>
    <row r="203" spans="2:33" x14ac:dyDescent="0.4">
      <c r="B203" s="23">
        <f>ID!B203</f>
        <v>0</v>
      </c>
      <c r="C203" s="24">
        <f>ID!C203</f>
        <v>0</v>
      </c>
      <c r="D203" s="23"/>
      <c r="E203" s="3"/>
      <c r="F203" s="3"/>
      <c r="G203" s="3"/>
      <c r="H203" s="24"/>
      <c r="I203" s="19"/>
      <c r="J203" s="3"/>
      <c r="K203" s="3"/>
      <c r="L203" s="3"/>
      <c r="M203" s="15"/>
      <c r="N203" s="23"/>
      <c r="O203" s="3"/>
      <c r="P203" s="3"/>
      <c r="Q203" s="3"/>
      <c r="R203" s="24"/>
      <c r="S203" s="19"/>
      <c r="T203" s="3"/>
      <c r="U203" s="3"/>
      <c r="V203" s="3"/>
      <c r="W203" s="15"/>
      <c r="X203" s="23"/>
      <c r="Y203" s="3"/>
      <c r="Z203" s="3"/>
      <c r="AA203" s="3"/>
      <c r="AB203" s="24"/>
      <c r="AC203" s="19"/>
      <c r="AD203" s="3"/>
      <c r="AE203" s="3"/>
      <c r="AF203" s="3"/>
      <c r="AG203" s="15"/>
    </row>
    <row r="204" spans="2:33" x14ac:dyDescent="0.4">
      <c r="B204" s="23">
        <f>ID!B204</f>
        <v>0</v>
      </c>
      <c r="C204" s="24">
        <f>ID!C204</f>
        <v>0</v>
      </c>
      <c r="D204" s="23"/>
      <c r="E204" s="3"/>
      <c r="F204" s="3"/>
      <c r="G204" s="3"/>
      <c r="H204" s="24"/>
      <c r="I204" s="19"/>
      <c r="J204" s="3"/>
      <c r="K204" s="3"/>
      <c r="L204" s="3"/>
      <c r="M204" s="15"/>
      <c r="N204" s="23"/>
      <c r="O204" s="3"/>
      <c r="P204" s="3"/>
      <c r="Q204" s="3"/>
      <c r="R204" s="24"/>
      <c r="S204" s="19"/>
      <c r="T204" s="3"/>
      <c r="U204" s="3"/>
      <c r="V204" s="3"/>
      <c r="W204" s="15"/>
      <c r="X204" s="23"/>
      <c r="Y204" s="3"/>
      <c r="Z204" s="3"/>
      <c r="AA204" s="3"/>
      <c r="AB204" s="24"/>
      <c r="AC204" s="19"/>
      <c r="AD204" s="3"/>
      <c r="AE204" s="3"/>
      <c r="AF204" s="3"/>
      <c r="AG204" s="15"/>
    </row>
    <row r="205" spans="2:33" x14ac:dyDescent="0.4">
      <c r="B205" s="23">
        <f>ID!B205</f>
        <v>0</v>
      </c>
      <c r="C205" s="24">
        <f>ID!C205</f>
        <v>0</v>
      </c>
      <c r="D205" s="23"/>
      <c r="E205" s="3"/>
      <c r="F205" s="3"/>
      <c r="G205" s="3"/>
      <c r="H205" s="24"/>
      <c r="I205" s="19"/>
      <c r="J205" s="3"/>
      <c r="K205" s="3"/>
      <c r="L205" s="3"/>
      <c r="M205" s="15"/>
      <c r="N205" s="23"/>
      <c r="O205" s="3"/>
      <c r="P205" s="3"/>
      <c r="Q205" s="3"/>
      <c r="R205" s="24"/>
      <c r="S205" s="19"/>
      <c r="T205" s="3"/>
      <c r="U205" s="3"/>
      <c r="V205" s="3"/>
      <c r="W205" s="15"/>
      <c r="X205" s="23"/>
      <c r="Y205" s="3"/>
      <c r="Z205" s="3"/>
      <c r="AA205" s="3"/>
      <c r="AB205" s="24"/>
      <c r="AC205" s="19"/>
      <c r="AD205" s="3"/>
      <c r="AE205" s="3"/>
      <c r="AF205" s="3"/>
      <c r="AG205" s="15"/>
    </row>
    <row r="206" spans="2:33" x14ac:dyDescent="0.4">
      <c r="B206" s="23">
        <f>ID!B206</f>
        <v>0</v>
      </c>
      <c r="C206" s="24">
        <f>ID!C206</f>
        <v>0</v>
      </c>
      <c r="D206" s="23"/>
      <c r="E206" s="3"/>
      <c r="F206" s="3"/>
      <c r="G206" s="3"/>
      <c r="H206" s="24"/>
      <c r="I206" s="19"/>
      <c r="J206" s="3"/>
      <c r="K206" s="3"/>
      <c r="L206" s="3"/>
      <c r="M206" s="15"/>
      <c r="N206" s="23"/>
      <c r="O206" s="3"/>
      <c r="P206" s="3"/>
      <c r="Q206" s="3"/>
      <c r="R206" s="24"/>
      <c r="S206" s="19"/>
      <c r="T206" s="3"/>
      <c r="U206" s="3"/>
      <c r="V206" s="3"/>
      <c r="W206" s="15"/>
      <c r="X206" s="23"/>
      <c r="Y206" s="3"/>
      <c r="Z206" s="3"/>
      <c r="AA206" s="3"/>
      <c r="AB206" s="24"/>
      <c r="AC206" s="19"/>
      <c r="AD206" s="3"/>
      <c r="AE206" s="3"/>
      <c r="AF206" s="3"/>
      <c r="AG206" s="15"/>
    </row>
    <row r="207" spans="2:33" x14ac:dyDescent="0.4">
      <c r="B207" s="23">
        <f>ID!B207</f>
        <v>0</v>
      </c>
      <c r="C207" s="24">
        <f>ID!C207</f>
        <v>0</v>
      </c>
      <c r="D207" s="23"/>
      <c r="E207" s="3"/>
      <c r="F207" s="3"/>
      <c r="G207" s="3"/>
      <c r="H207" s="24"/>
      <c r="I207" s="19"/>
      <c r="J207" s="3"/>
      <c r="K207" s="3"/>
      <c r="L207" s="3"/>
      <c r="M207" s="15"/>
      <c r="N207" s="23"/>
      <c r="O207" s="3"/>
      <c r="P207" s="3"/>
      <c r="Q207" s="3"/>
      <c r="R207" s="24"/>
      <c r="S207" s="19"/>
      <c r="T207" s="3"/>
      <c r="U207" s="3"/>
      <c r="V207" s="3"/>
      <c r="W207" s="15"/>
      <c r="X207" s="23"/>
      <c r="Y207" s="3"/>
      <c r="Z207" s="3"/>
      <c r="AA207" s="3"/>
      <c r="AB207" s="24"/>
      <c r="AC207" s="19"/>
      <c r="AD207" s="3"/>
      <c r="AE207" s="3"/>
      <c r="AF207" s="3"/>
      <c r="AG207" s="15"/>
    </row>
    <row r="208" spans="2:33" x14ac:dyDescent="0.4">
      <c r="B208" s="23">
        <f>ID!B208</f>
        <v>0</v>
      </c>
      <c r="C208" s="24">
        <f>ID!C208</f>
        <v>0</v>
      </c>
      <c r="D208" s="23"/>
      <c r="E208" s="3"/>
      <c r="F208" s="3"/>
      <c r="G208" s="3"/>
      <c r="H208" s="24"/>
      <c r="I208" s="19"/>
      <c r="J208" s="3"/>
      <c r="K208" s="3"/>
      <c r="L208" s="3"/>
      <c r="M208" s="15"/>
      <c r="N208" s="23"/>
      <c r="O208" s="3"/>
      <c r="P208" s="3"/>
      <c r="Q208" s="3"/>
      <c r="R208" s="24"/>
      <c r="S208" s="19"/>
      <c r="T208" s="3"/>
      <c r="U208" s="3"/>
      <c r="V208" s="3"/>
      <c r="W208" s="15"/>
      <c r="X208" s="23"/>
      <c r="Y208" s="3"/>
      <c r="Z208" s="3"/>
      <c r="AA208" s="3"/>
      <c r="AB208" s="24"/>
      <c r="AC208" s="19"/>
      <c r="AD208" s="3"/>
      <c r="AE208" s="3"/>
      <c r="AF208" s="3"/>
      <c r="AG208" s="15"/>
    </row>
  </sheetData>
  <sheetProtection algorithmName="SHA-512" hashValue="Ed/bPg8nfImwDiAlTLo8Dr3zOBzf68drW2EJ9ANGGJ/m7CcTZLOCXqDylxzxbNBxbiSpwkzOoi5r62caoxz/zw==" saltValue="cn1LL7RE+3Bc00SR5TkOig==" spinCount="100000" sheet="1" objects="1" scenarios="1"/>
  <phoneticPr fontId="1"/>
  <conditionalFormatting sqref="D1:AH1048576">
    <cfRule type="expression" dxfId="0" priority="1">
      <formula>IF(D$2="祝",TRUE,IF(D$2="土",TRUE,IF(D$2="日",TRUE,FALSE)))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D208"/>
  <sheetViews>
    <sheetView workbookViewId="0">
      <selection activeCell="C155" sqref="C155"/>
    </sheetView>
  </sheetViews>
  <sheetFormatPr defaultRowHeight="18.75" x14ac:dyDescent="0.4"/>
  <cols>
    <col min="2" max="3" width="12.375" bestFit="1" customWidth="1"/>
    <col min="4" max="4" width="8.5" style="5" bestFit="1" customWidth="1"/>
  </cols>
  <sheetData>
    <row r="1" spans="1:4" x14ac:dyDescent="0.4">
      <c r="B1" t="s">
        <v>37</v>
      </c>
    </row>
    <row r="3" spans="1:4" x14ac:dyDescent="0.4">
      <c r="B3" s="2" t="s">
        <v>2</v>
      </c>
      <c r="C3" s="2" t="s">
        <v>3</v>
      </c>
      <c r="D3" s="5" t="s">
        <v>18</v>
      </c>
    </row>
    <row r="4" spans="1:4" x14ac:dyDescent="0.4">
      <c r="A4" t="s">
        <v>19</v>
      </c>
      <c r="B4" t="s">
        <v>4</v>
      </c>
      <c r="C4" s="48" t="s">
        <v>51</v>
      </c>
      <c r="D4" s="49" t="s">
        <v>201</v>
      </c>
    </row>
    <row r="5" spans="1:4" x14ac:dyDescent="0.4">
      <c r="A5" t="s">
        <v>20</v>
      </c>
      <c r="B5" t="s">
        <v>5</v>
      </c>
      <c r="C5" s="48" t="s">
        <v>52</v>
      </c>
      <c r="D5" s="49" t="s">
        <v>202</v>
      </c>
    </row>
    <row r="6" spans="1:4" x14ac:dyDescent="0.4">
      <c r="B6" t="s">
        <v>6</v>
      </c>
      <c r="C6" s="48" t="s">
        <v>53</v>
      </c>
      <c r="D6" s="49" t="s">
        <v>203</v>
      </c>
    </row>
    <row r="7" spans="1:4" x14ac:dyDescent="0.4">
      <c r="B7" t="s">
        <v>6</v>
      </c>
      <c r="C7" s="48" t="s">
        <v>54</v>
      </c>
      <c r="D7" s="49" t="s">
        <v>204</v>
      </c>
    </row>
    <row r="8" spans="1:4" x14ac:dyDescent="0.4">
      <c r="B8" t="s">
        <v>6</v>
      </c>
      <c r="C8" s="48" t="s">
        <v>55</v>
      </c>
      <c r="D8" s="49" t="s">
        <v>205</v>
      </c>
    </row>
    <row r="9" spans="1:4" x14ac:dyDescent="0.4">
      <c r="B9" t="s">
        <v>6</v>
      </c>
      <c r="C9" s="48" t="s">
        <v>56</v>
      </c>
      <c r="D9" s="49" t="s">
        <v>206</v>
      </c>
    </row>
    <row r="10" spans="1:4" x14ac:dyDescent="0.4">
      <c r="B10" t="s">
        <v>6</v>
      </c>
      <c r="C10" s="48" t="s">
        <v>57</v>
      </c>
      <c r="D10" s="49" t="s">
        <v>207</v>
      </c>
    </row>
    <row r="11" spans="1:4" x14ac:dyDescent="0.4">
      <c r="B11" t="s">
        <v>6</v>
      </c>
      <c r="C11" s="48" t="s">
        <v>58</v>
      </c>
      <c r="D11" s="49" t="s">
        <v>208</v>
      </c>
    </row>
    <row r="12" spans="1:4" x14ac:dyDescent="0.4">
      <c r="B12" t="s">
        <v>6</v>
      </c>
      <c r="C12" s="48" t="s">
        <v>59</v>
      </c>
      <c r="D12" s="49" t="s">
        <v>209</v>
      </c>
    </row>
    <row r="13" spans="1:4" x14ac:dyDescent="0.4">
      <c r="B13" t="s">
        <v>6</v>
      </c>
      <c r="C13" s="48" t="s">
        <v>60</v>
      </c>
      <c r="D13" s="49" t="s">
        <v>210</v>
      </c>
    </row>
    <row r="14" spans="1:4" x14ac:dyDescent="0.4">
      <c r="B14" t="s">
        <v>6</v>
      </c>
      <c r="C14" s="48" t="s">
        <v>61</v>
      </c>
      <c r="D14" s="49" t="s">
        <v>211</v>
      </c>
    </row>
    <row r="15" spans="1:4" x14ac:dyDescent="0.4">
      <c r="B15" t="s">
        <v>6</v>
      </c>
      <c r="C15" s="48" t="s">
        <v>62</v>
      </c>
      <c r="D15" s="49" t="s">
        <v>212</v>
      </c>
    </row>
    <row r="16" spans="1:4" x14ac:dyDescent="0.4">
      <c r="B16" t="s">
        <v>6</v>
      </c>
      <c r="C16" s="48" t="s">
        <v>63</v>
      </c>
      <c r="D16" s="49" t="s">
        <v>213</v>
      </c>
    </row>
    <row r="17" spans="2:4" x14ac:dyDescent="0.4">
      <c r="B17" t="s">
        <v>6</v>
      </c>
      <c r="C17" s="48" t="s">
        <v>64</v>
      </c>
      <c r="D17" s="49" t="s">
        <v>214</v>
      </c>
    </row>
    <row r="18" spans="2:4" x14ac:dyDescent="0.4">
      <c r="B18" t="s">
        <v>6</v>
      </c>
      <c r="C18" s="48" t="s">
        <v>65</v>
      </c>
      <c r="D18" s="49" t="s">
        <v>215</v>
      </c>
    </row>
    <row r="19" spans="2:4" x14ac:dyDescent="0.4">
      <c r="B19" t="s">
        <v>6</v>
      </c>
      <c r="C19" s="48" t="s">
        <v>66</v>
      </c>
      <c r="D19" s="49" t="s">
        <v>216</v>
      </c>
    </row>
    <row r="20" spans="2:4" x14ac:dyDescent="0.4">
      <c r="B20" t="s">
        <v>6</v>
      </c>
      <c r="C20" s="48" t="s">
        <v>67</v>
      </c>
      <c r="D20" s="49" t="s">
        <v>217</v>
      </c>
    </row>
    <row r="21" spans="2:4" x14ac:dyDescent="0.4">
      <c r="B21" t="s">
        <v>6</v>
      </c>
      <c r="C21" s="48" t="s">
        <v>68</v>
      </c>
      <c r="D21" s="49" t="s">
        <v>218</v>
      </c>
    </row>
    <row r="22" spans="2:4" x14ac:dyDescent="0.4">
      <c r="B22" t="s">
        <v>6</v>
      </c>
      <c r="C22" s="48" t="s">
        <v>69</v>
      </c>
      <c r="D22" s="49" t="s">
        <v>219</v>
      </c>
    </row>
    <row r="23" spans="2:4" x14ac:dyDescent="0.4">
      <c r="B23" t="s">
        <v>6</v>
      </c>
      <c r="C23" s="48" t="s">
        <v>70</v>
      </c>
      <c r="D23" s="49" t="s">
        <v>220</v>
      </c>
    </row>
    <row r="24" spans="2:4" x14ac:dyDescent="0.4">
      <c r="B24" t="s">
        <v>6</v>
      </c>
      <c r="C24" s="48" t="s">
        <v>71</v>
      </c>
      <c r="D24" s="49" t="s">
        <v>221</v>
      </c>
    </row>
    <row r="25" spans="2:4" x14ac:dyDescent="0.4">
      <c r="B25" t="s">
        <v>6</v>
      </c>
      <c r="C25" s="48" t="s">
        <v>72</v>
      </c>
      <c r="D25" s="49" t="s">
        <v>222</v>
      </c>
    </row>
    <row r="26" spans="2:4" x14ac:dyDescent="0.4">
      <c r="B26" t="s">
        <v>6</v>
      </c>
      <c r="C26" s="48" t="s">
        <v>73</v>
      </c>
      <c r="D26" s="49" t="s">
        <v>223</v>
      </c>
    </row>
    <row r="27" spans="2:4" x14ac:dyDescent="0.4">
      <c r="B27" t="s">
        <v>6</v>
      </c>
      <c r="C27" s="48" t="s">
        <v>74</v>
      </c>
      <c r="D27" s="49" t="s">
        <v>224</v>
      </c>
    </row>
    <row r="28" spans="2:4" x14ac:dyDescent="0.4">
      <c r="B28" t="s">
        <v>6</v>
      </c>
      <c r="C28" s="48" t="s">
        <v>75</v>
      </c>
      <c r="D28" s="49" t="s">
        <v>225</v>
      </c>
    </row>
    <row r="29" spans="2:4" x14ac:dyDescent="0.4">
      <c r="B29" t="s">
        <v>6</v>
      </c>
      <c r="C29" s="48" t="s">
        <v>76</v>
      </c>
      <c r="D29" s="49" t="s">
        <v>226</v>
      </c>
    </row>
    <row r="30" spans="2:4" x14ac:dyDescent="0.4">
      <c r="B30" t="s">
        <v>6</v>
      </c>
      <c r="C30" s="48" t="s">
        <v>77</v>
      </c>
      <c r="D30" s="49" t="s">
        <v>227</v>
      </c>
    </row>
    <row r="31" spans="2:4" x14ac:dyDescent="0.4">
      <c r="B31" t="s">
        <v>6</v>
      </c>
      <c r="C31" s="48" t="s">
        <v>78</v>
      </c>
      <c r="D31" s="49" t="s">
        <v>228</v>
      </c>
    </row>
    <row r="32" spans="2:4" x14ac:dyDescent="0.4">
      <c r="B32" t="s">
        <v>6</v>
      </c>
      <c r="C32" s="48" t="s">
        <v>79</v>
      </c>
      <c r="D32" s="49" t="s">
        <v>229</v>
      </c>
    </row>
    <row r="33" spans="2:4" x14ac:dyDescent="0.4">
      <c r="B33" t="s">
        <v>6</v>
      </c>
      <c r="C33" s="48" t="s">
        <v>80</v>
      </c>
      <c r="D33" s="49" t="s">
        <v>230</v>
      </c>
    </row>
    <row r="34" spans="2:4" x14ac:dyDescent="0.4">
      <c r="B34" t="s">
        <v>6</v>
      </c>
      <c r="C34" s="48" t="s">
        <v>81</v>
      </c>
      <c r="D34" s="49" t="s">
        <v>231</v>
      </c>
    </row>
    <row r="35" spans="2:4" x14ac:dyDescent="0.4">
      <c r="B35" t="s">
        <v>6</v>
      </c>
      <c r="C35" s="48" t="s">
        <v>82</v>
      </c>
      <c r="D35" s="49" t="s">
        <v>232</v>
      </c>
    </row>
    <row r="36" spans="2:4" x14ac:dyDescent="0.4">
      <c r="B36" t="s">
        <v>6</v>
      </c>
      <c r="C36" s="48" t="s">
        <v>83</v>
      </c>
      <c r="D36" s="49" t="s">
        <v>233</v>
      </c>
    </row>
    <row r="37" spans="2:4" x14ac:dyDescent="0.4">
      <c r="B37" t="s">
        <v>6</v>
      </c>
      <c r="C37" s="48" t="s">
        <v>84</v>
      </c>
      <c r="D37" s="49" t="s">
        <v>234</v>
      </c>
    </row>
    <row r="38" spans="2:4" x14ac:dyDescent="0.4">
      <c r="B38" t="s">
        <v>6</v>
      </c>
      <c r="C38" s="48" t="s">
        <v>85</v>
      </c>
      <c r="D38" s="49" t="s">
        <v>235</v>
      </c>
    </row>
    <row r="39" spans="2:4" x14ac:dyDescent="0.4">
      <c r="B39" t="s">
        <v>6</v>
      </c>
      <c r="C39" s="48" t="s">
        <v>86</v>
      </c>
      <c r="D39" s="49" t="s">
        <v>236</v>
      </c>
    </row>
    <row r="40" spans="2:4" x14ac:dyDescent="0.4">
      <c r="B40" t="s">
        <v>6</v>
      </c>
      <c r="C40" s="48" t="s">
        <v>87</v>
      </c>
      <c r="D40" s="49" t="s">
        <v>237</v>
      </c>
    </row>
    <row r="41" spans="2:4" x14ac:dyDescent="0.4">
      <c r="B41" t="s">
        <v>6</v>
      </c>
      <c r="C41" s="48" t="s">
        <v>88</v>
      </c>
      <c r="D41" s="49" t="s">
        <v>238</v>
      </c>
    </row>
    <row r="42" spans="2:4" x14ac:dyDescent="0.4">
      <c r="B42" t="s">
        <v>6</v>
      </c>
      <c r="C42" s="48" t="s">
        <v>89</v>
      </c>
      <c r="D42" s="49" t="s">
        <v>239</v>
      </c>
    </row>
    <row r="43" spans="2:4" x14ac:dyDescent="0.4">
      <c r="B43" t="s">
        <v>6</v>
      </c>
      <c r="C43" s="48" t="s">
        <v>90</v>
      </c>
      <c r="D43" s="49" t="s">
        <v>240</v>
      </c>
    </row>
    <row r="44" spans="2:4" x14ac:dyDescent="0.4">
      <c r="B44" t="s">
        <v>6</v>
      </c>
      <c r="C44" s="48" t="s">
        <v>91</v>
      </c>
      <c r="D44" s="49" t="s">
        <v>241</v>
      </c>
    </row>
    <row r="45" spans="2:4" x14ac:dyDescent="0.4">
      <c r="B45" t="s">
        <v>6</v>
      </c>
      <c r="C45" s="48" t="s">
        <v>92</v>
      </c>
      <c r="D45" s="49" t="s">
        <v>242</v>
      </c>
    </row>
    <row r="46" spans="2:4" x14ac:dyDescent="0.4">
      <c r="B46" t="s">
        <v>6</v>
      </c>
      <c r="C46" s="48" t="s">
        <v>93</v>
      </c>
      <c r="D46" s="49" t="s">
        <v>243</v>
      </c>
    </row>
    <row r="47" spans="2:4" x14ac:dyDescent="0.4">
      <c r="B47" t="s">
        <v>6</v>
      </c>
      <c r="C47" s="48" t="s">
        <v>94</v>
      </c>
      <c r="D47" s="49" t="s">
        <v>244</v>
      </c>
    </row>
    <row r="48" spans="2:4" x14ac:dyDescent="0.4">
      <c r="B48" t="s">
        <v>6</v>
      </c>
      <c r="C48" s="48" t="s">
        <v>95</v>
      </c>
      <c r="D48" s="49" t="s">
        <v>245</v>
      </c>
    </row>
    <row r="49" spans="2:4" x14ac:dyDescent="0.4">
      <c r="B49" t="s">
        <v>6</v>
      </c>
      <c r="C49" s="48" t="s">
        <v>96</v>
      </c>
      <c r="D49" s="49" t="s">
        <v>246</v>
      </c>
    </row>
    <row r="50" spans="2:4" x14ac:dyDescent="0.4">
      <c r="B50" t="s">
        <v>6</v>
      </c>
      <c r="C50" s="48" t="s">
        <v>97</v>
      </c>
      <c r="D50" s="49" t="s">
        <v>247</v>
      </c>
    </row>
    <row r="51" spans="2:4" x14ac:dyDescent="0.4">
      <c r="B51" t="s">
        <v>6</v>
      </c>
      <c r="C51" s="48" t="s">
        <v>98</v>
      </c>
      <c r="D51" s="49" t="s">
        <v>248</v>
      </c>
    </row>
    <row r="52" spans="2:4" x14ac:dyDescent="0.4">
      <c r="B52" t="s">
        <v>6</v>
      </c>
      <c r="C52" s="48" t="s">
        <v>99</v>
      </c>
      <c r="D52" s="49" t="s">
        <v>249</v>
      </c>
    </row>
    <row r="53" spans="2:4" x14ac:dyDescent="0.4">
      <c r="B53" t="s">
        <v>6</v>
      </c>
      <c r="C53" s="48" t="s">
        <v>100</v>
      </c>
      <c r="D53" s="49" t="s">
        <v>250</v>
      </c>
    </row>
    <row r="54" spans="2:4" x14ac:dyDescent="0.4">
      <c r="B54" t="s">
        <v>6</v>
      </c>
      <c r="C54" s="48" t="s">
        <v>101</v>
      </c>
      <c r="D54" s="49" t="s">
        <v>251</v>
      </c>
    </row>
    <row r="55" spans="2:4" x14ac:dyDescent="0.4">
      <c r="B55" t="s">
        <v>7</v>
      </c>
      <c r="C55" s="48" t="s">
        <v>102</v>
      </c>
      <c r="D55" s="49" t="s">
        <v>252</v>
      </c>
    </row>
    <row r="56" spans="2:4" x14ac:dyDescent="0.4">
      <c r="B56" t="s">
        <v>8</v>
      </c>
      <c r="C56" s="48" t="s">
        <v>103</v>
      </c>
      <c r="D56" s="49" t="s">
        <v>253</v>
      </c>
    </row>
    <row r="57" spans="2:4" x14ac:dyDescent="0.4">
      <c r="B57" t="s">
        <v>9</v>
      </c>
      <c r="C57" s="48" t="s">
        <v>104</v>
      </c>
      <c r="D57" s="49" t="s">
        <v>254</v>
      </c>
    </row>
    <row r="58" spans="2:4" x14ac:dyDescent="0.4">
      <c r="B58" t="s">
        <v>10</v>
      </c>
      <c r="C58" s="48" t="s">
        <v>105</v>
      </c>
      <c r="D58" s="49" t="s">
        <v>255</v>
      </c>
    </row>
    <row r="59" spans="2:4" x14ac:dyDescent="0.4">
      <c r="B59" t="s">
        <v>10</v>
      </c>
      <c r="C59" s="48" t="s">
        <v>106</v>
      </c>
      <c r="D59" s="49" t="s">
        <v>256</v>
      </c>
    </row>
    <row r="60" spans="2:4" x14ac:dyDescent="0.4">
      <c r="B60" t="s">
        <v>10</v>
      </c>
      <c r="C60" s="48" t="s">
        <v>107</v>
      </c>
      <c r="D60" s="49" t="s">
        <v>257</v>
      </c>
    </row>
    <row r="61" spans="2:4" x14ac:dyDescent="0.4">
      <c r="B61" t="s">
        <v>10</v>
      </c>
      <c r="C61" s="48" t="s">
        <v>108</v>
      </c>
      <c r="D61" s="49" t="s">
        <v>258</v>
      </c>
    </row>
    <row r="62" spans="2:4" x14ac:dyDescent="0.4">
      <c r="B62" t="s">
        <v>10</v>
      </c>
      <c r="C62" s="48" t="s">
        <v>109</v>
      </c>
      <c r="D62" s="49" t="s">
        <v>259</v>
      </c>
    </row>
    <row r="63" spans="2:4" x14ac:dyDescent="0.4">
      <c r="B63" t="s">
        <v>11</v>
      </c>
      <c r="C63" s="48" t="s">
        <v>110</v>
      </c>
      <c r="D63" s="49" t="s">
        <v>260</v>
      </c>
    </row>
    <row r="64" spans="2:4" x14ac:dyDescent="0.4">
      <c r="B64" t="s">
        <v>11</v>
      </c>
      <c r="C64" s="48" t="s">
        <v>111</v>
      </c>
      <c r="D64" s="49" t="s">
        <v>261</v>
      </c>
    </row>
    <row r="65" spans="2:4" x14ac:dyDescent="0.4">
      <c r="B65" t="s">
        <v>11</v>
      </c>
      <c r="C65" s="48" t="s">
        <v>112</v>
      </c>
      <c r="D65" s="49" t="s">
        <v>262</v>
      </c>
    </row>
    <row r="66" spans="2:4" x14ac:dyDescent="0.4">
      <c r="C66" s="48" t="s">
        <v>113</v>
      </c>
      <c r="D66" s="49" t="s">
        <v>263</v>
      </c>
    </row>
    <row r="67" spans="2:4" x14ac:dyDescent="0.4">
      <c r="C67" s="48" t="s">
        <v>114</v>
      </c>
      <c r="D67" s="49" t="s">
        <v>264</v>
      </c>
    </row>
    <row r="68" spans="2:4" x14ac:dyDescent="0.4">
      <c r="C68" s="48" t="s">
        <v>115</v>
      </c>
      <c r="D68" s="49" t="s">
        <v>265</v>
      </c>
    </row>
    <row r="69" spans="2:4" x14ac:dyDescent="0.4">
      <c r="C69" s="48" t="s">
        <v>116</v>
      </c>
      <c r="D69" s="49" t="s">
        <v>266</v>
      </c>
    </row>
    <row r="70" spans="2:4" x14ac:dyDescent="0.4">
      <c r="C70" s="48" t="s">
        <v>117</v>
      </c>
      <c r="D70" s="49" t="s">
        <v>267</v>
      </c>
    </row>
    <row r="71" spans="2:4" x14ac:dyDescent="0.4">
      <c r="C71" s="48" t="s">
        <v>118</v>
      </c>
      <c r="D71" s="49" t="s">
        <v>268</v>
      </c>
    </row>
    <row r="72" spans="2:4" x14ac:dyDescent="0.4">
      <c r="C72" s="48" t="s">
        <v>119</v>
      </c>
      <c r="D72" s="49" t="s">
        <v>269</v>
      </c>
    </row>
    <row r="73" spans="2:4" x14ac:dyDescent="0.4">
      <c r="C73" s="48" t="s">
        <v>120</v>
      </c>
      <c r="D73" s="49" t="s">
        <v>270</v>
      </c>
    </row>
    <row r="74" spans="2:4" x14ac:dyDescent="0.4">
      <c r="C74" s="48" t="s">
        <v>121</v>
      </c>
      <c r="D74" s="49" t="s">
        <v>271</v>
      </c>
    </row>
    <row r="75" spans="2:4" x14ac:dyDescent="0.4">
      <c r="C75" s="48" t="s">
        <v>122</v>
      </c>
      <c r="D75" s="49" t="s">
        <v>272</v>
      </c>
    </row>
    <row r="76" spans="2:4" x14ac:dyDescent="0.4">
      <c r="C76" s="48" t="s">
        <v>123</v>
      </c>
      <c r="D76" s="49" t="s">
        <v>273</v>
      </c>
    </row>
    <row r="77" spans="2:4" x14ac:dyDescent="0.4">
      <c r="C77" s="48" t="s">
        <v>124</v>
      </c>
      <c r="D77" s="49" t="s">
        <v>274</v>
      </c>
    </row>
    <row r="78" spans="2:4" x14ac:dyDescent="0.4">
      <c r="C78" s="48" t="s">
        <v>125</v>
      </c>
      <c r="D78" s="49" t="s">
        <v>275</v>
      </c>
    </row>
    <row r="79" spans="2:4" x14ac:dyDescent="0.4">
      <c r="C79" s="48" t="s">
        <v>126</v>
      </c>
      <c r="D79" s="49" t="s">
        <v>276</v>
      </c>
    </row>
    <row r="80" spans="2:4" x14ac:dyDescent="0.4">
      <c r="C80" s="48" t="s">
        <v>127</v>
      </c>
      <c r="D80" s="49" t="s">
        <v>277</v>
      </c>
    </row>
    <row r="81" spans="3:4" x14ac:dyDescent="0.4">
      <c r="C81" s="48" t="s">
        <v>128</v>
      </c>
      <c r="D81" s="49" t="s">
        <v>278</v>
      </c>
    </row>
    <row r="82" spans="3:4" x14ac:dyDescent="0.4">
      <c r="C82" s="48" t="s">
        <v>129</v>
      </c>
      <c r="D82" s="49" t="s">
        <v>279</v>
      </c>
    </row>
    <row r="83" spans="3:4" x14ac:dyDescent="0.4">
      <c r="C83" s="48" t="s">
        <v>130</v>
      </c>
      <c r="D83" s="49" t="s">
        <v>280</v>
      </c>
    </row>
    <row r="84" spans="3:4" x14ac:dyDescent="0.4">
      <c r="C84" s="48" t="s">
        <v>131</v>
      </c>
      <c r="D84" s="49" t="s">
        <v>281</v>
      </c>
    </row>
    <row r="85" spans="3:4" x14ac:dyDescent="0.4">
      <c r="C85" s="48" t="s">
        <v>132</v>
      </c>
      <c r="D85" s="49" t="s">
        <v>282</v>
      </c>
    </row>
    <row r="86" spans="3:4" x14ac:dyDescent="0.4">
      <c r="C86" s="48" t="s">
        <v>133</v>
      </c>
      <c r="D86" s="49" t="s">
        <v>283</v>
      </c>
    </row>
    <row r="87" spans="3:4" x14ac:dyDescent="0.4">
      <c r="C87" s="48" t="s">
        <v>134</v>
      </c>
      <c r="D87" s="49" t="s">
        <v>284</v>
      </c>
    </row>
    <row r="88" spans="3:4" x14ac:dyDescent="0.4">
      <c r="C88" s="48" t="s">
        <v>135</v>
      </c>
      <c r="D88" s="49" t="s">
        <v>285</v>
      </c>
    </row>
    <row r="89" spans="3:4" x14ac:dyDescent="0.4">
      <c r="C89" s="48" t="s">
        <v>136</v>
      </c>
      <c r="D89" s="49" t="s">
        <v>286</v>
      </c>
    </row>
    <row r="90" spans="3:4" x14ac:dyDescent="0.4">
      <c r="C90" s="48" t="s">
        <v>137</v>
      </c>
      <c r="D90" s="49" t="s">
        <v>287</v>
      </c>
    </row>
    <row r="91" spans="3:4" x14ac:dyDescent="0.4">
      <c r="C91" s="48" t="s">
        <v>138</v>
      </c>
      <c r="D91" s="49" t="s">
        <v>288</v>
      </c>
    </row>
    <row r="92" spans="3:4" x14ac:dyDescent="0.4">
      <c r="C92" s="48" t="s">
        <v>139</v>
      </c>
      <c r="D92" s="49" t="s">
        <v>289</v>
      </c>
    </row>
    <row r="93" spans="3:4" x14ac:dyDescent="0.4">
      <c r="C93" s="48" t="s">
        <v>140</v>
      </c>
      <c r="D93" s="49" t="s">
        <v>290</v>
      </c>
    </row>
    <row r="94" spans="3:4" x14ac:dyDescent="0.4">
      <c r="C94" s="48" t="s">
        <v>141</v>
      </c>
      <c r="D94" s="49" t="s">
        <v>291</v>
      </c>
    </row>
    <row r="95" spans="3:4" x14ac:dyDescent="0.4">
      <c r="C95" s="48" t="s">
        <v>142</v>
      </c>
      <c r="D95" s="49" t="s">
        <v>292</v>
      </c>
    </row>
    <row r="96" spans="3:4" x14ac:dyDescent="0.4">
      <c r="C96" s="48" t="s">
        <v>143</v>
      </c>
      <c r="D96" s="49" t="s">
        <v>293</v>
      </c>
    </row>
    <row r="97" spans="3:4" x14ac:dyDescent="0.4">
      <c r="C97" s="48" t="s">
        <v>144</v>
      </c>
      <c r="D97" s="49" t="s">
        <v>294</v>
      </c>
    </row>
    <row r="98" spans="3:4" x14ac:dyDescent="0.4">
      <c r="C98" s="48" t="s">
        <v>145</v>
      </c>
      <c r="D98" s="49" t="s">
        <v>295</v>
      </c>
    </row>
    <row r="99" spans="3:4" x14ac:dyDescent="0.4">
      <c r="C99" s="48" t="s">
        <v>146</v>
      </c>
      <c r="D99" s="49" t="s">
        <v>296</v>
      </c>
    </row>
    <row r="100" spans="3:4" x14ac:dyDescent="0.4">
      <c r="C100" s="48" t="s">
        <v>147</v>
      </c>
      <c r="D100" s="49" t="s">
        <v>297</v>
      </c>
    </row>
    <row r="101" spans="3:4" x14ac:dyDescent="0.4">
      <c r="C101" s="48" t="s">
        <v>148</v>
      </c>
      <c r="D101" s="49" t="s">
        <v>298</v>
      </c>
    </row>
    <row r="102" spans="3:4" x14ac:dyDescent="0.4">
      <c r="C102" s="48" t="s">
        <v>149</v>
      </c>
      <c r="D102" s="49" t="s">
        <v>299</v>
      </c>
    </row>
    <row r="103" spans="3:4" x14ac:dyDescent="0.4">
      <c r="C103" s="48" t="s">
        <v>150</v>
      </c>
      <c r="D103" s="49" t="s">
        <v>300</v>
      </c>
    </row>
    <row r="104" spans="3:4" x14ac:dyDescent="0.4">
      <c r="C104" s="48" t="s">
        <v>151</v>
      </c>
      <c r="D104" s="49" t="s">
        <v>301</v>
      </c>
    </row>
    <row r="105" spans="3:4" x14ac:dyDescent="0.4">
      <c r="C105" s="48" t="s">
        <v>152</v>
      </c>
      <c r="D105" s="49" t="s">
        <v>302</v>
      </c>
    </row>
    <row r="106" spans="3:4" x14ac:dyDescent="0.4">
      <c r="C106" s="48" t="s">
        <v>153</v>
      </c>
      <c r="D106" s="49" t="s">
        <v>303</v>
      </c>
    </row>
    <row r="107" spans="3:4" x14ac:dyDescent="0.4">
      <c r="C107" s="48" t="s">
        <v>154</v>
      </c>
      <c r="D107" s="49" t="s">
        <v>304</v>
      </c>
    </row>
    <row r="108" spans="3:4" x14ac:dyDescent="0.4">
      <c r="C108" s="48" t="s">
        <v>155</v>
      </c>
      <c r="D108" s="49" t="s">
        <v>305</v>
      </c>
    </row>
    <row r="109" spans="3:4" x14ac:dyDescent="0.4">
      <c r="C109" s="48" t="s">
        <v>156</v>
      </c>
      <c r="D109" s="49" t="s">
        <v>306</v>
      </c>
    </row>
    <row r="110" spans="3:4" x14ac:dyDescent="0.4">
      <c r="C110" s="48" t="s">
        <v>157</v>
      </c>
      <c r="D110" s="49" t="s">
        <v>307</v>
      </c>
    </row>
    <row r="111" spans="3:4" x14ac:dyDescent="0.4">
      <c r="C111" s="48" t="s">
        <v>158</v>
      </c>
      <c r="D111" s="49" t="s">
        <v>308</v>
      </c>
    </row>
    <row r="112" spans="3:4" x14ac:dyDescent="0.4">
      <c r="C112" s="48" t="s">
        <v>159</v>
      </c>
      <c r="D112" s="49" t="s">
        <v>309</v>
      </c>
    </row>
    <row r="113" spans="3:4" x14ac:dyDescent="0.4">
      <c r="C113" s="48" t="s">
        <v>160</v>
      </c>
      <c r="D113" s="49" t="s">
        <v>310</v>
      </c>
    </row>
    <row r="114" spans="3:4" x14ac:dyDescent="0.4">
      <c r="C114" s="48" t="s">
        <v>161</v>
      </c>
      <c r="D114" s="49" t="s">
        <v>311</v>
      </c>
    </row>
    <row r="115" spans="3:4" x14ac:dyDescent="0.4">
      <c r="C115" s="48" t="s">
        <v>162</v>
      </c>
      <c r="D115" s="49" t="s">
        <v>312</v>
      </c>
    </row>
    <row r="116" spans="3:4" x14ac:dyDescent="0.4">
      <c r="C116" s="48" t="s">
        <v>163</v>
      </c>
      <c r="D116" s="49" t="s">
        <v>313</v>
      </c>
    </row>
    <row r="117" spans="3:4" x14ac:dyDescent="0.4">
      <c r="C117" s="48" t="s">
        <v>164</v>
      </c>
      <c r="D117" s="49" t="s">
        <v>314</v>
      </c>
    </row>
    <row r="118" spans="3:4" x14ac:dyDescent="0.4">
      <c r="C118" s="48" t="s">
        <v>165</v>
      </c>
      <c r="D118" s="49" t="s">
        <v>315</v>
      </c>
    </row>
    <row r="119" spans="3:4" x14ac:dyDescent="0.4">
      <c r="C119" s="48" t="s">
        <v>166</v>
      </c>
      <c r="D119" s="49" t="s">
        <v>316</v>
      </c>
    </row>
    <row r="120" spans="3:4" x14ac:dyDescent="0.4">
      <c r="C120" s="48" t="s">
        <v>167</v>
      </c>
      <c r="D120" s="49" t="s">
        <v>317</v>
      </c>
    </row>
    <row r="121" spans="3:4" x14ac:dyDescent="0.4">
      <c r="C121" s="48" t="s">
        <v>168</v>
      </c>
      <c r="D121" s="49" t="s">
        <v>318</v>
      </c>
    </row>
    <row r="122" spans="3:4" x14ac:dyDescent="0.4">
      <c r="C122" s="48" t="s">
        <v>169</v>
      </c>
      <c r="D122" s="49" t="s">
        <v>319</v>
      </c>
    </row>
    <row r="123" spans="3:4" x14ac:dyDescent="0.4">
      <c r="C123" s="48" t="s">
        <v>170</v>
      </c>
      <c r="D123" s="49" t="s">
        <v>320</v>
      </c>
    </row>
    <row r="124" spans="3:4" x14ac:dyDescent="0.4">
      <c r="C124" s="48" t="s">
        <v>171</v>
      </c>
      <c r="D124" s="49" t="s">
        <v>321</v>
      </c>
    </row>
    <row r="125" spans="3:4" x14ac:dyDescent="0.4">
      <c r="C125" s="48" t="s">
        <v>172</v>
      </c>
      <c r="D125" s="49" t="s">
        <v>322</v>
      </c>
    </row>
    <row r="126" spans="3:4" x14ac:dyDescent="0.4">
      <c r="C126" s="48" t="s">
        <v>173</v>
      </c>
      <c r="D126" s="49" t="s">
        <v>323</v>
      </c>
    </row>
    <row r="127" spans="3:4" x14ac:dyDescent="0.4">
      <c r="C127" s="48" t="s">
        <v>174</v>
      </c>
      <c r="D127" s="49" t="s">
        <v>324</v>
      </c>
    </row>
    <row r="128" spans="3:4" x14ac:dyDescent="0.4">
      <c r="C128" s="48" t="s">
        <v>175</v>
      </c>
      <c r="D128" s="49" t="s">
        <v>325</v>
      </c>
    </row>
    <row r="129" spans="3:4" x14ac:dyDescent="0.4">
      <c r="C129" s="48" t="s">
        <v>176</v>
      </c>
      <c r="D129" s="49" t="s">
        <v>326</v>
      </c>
    </row>
    <row r="130" spans="3:4" x14ac:dyDescent="0.4">
      <c r="C130" s="48" t="s">
        <v>177</v>
      </c>
      <c r="D130" s="49" t="s">
        <v>327</v>
      </c>
    </row>
    <row r="131" spans="3:4" x14ac:dyDescent="0.4">
      <c r="C131" s="48" t="s">
        <v>178</v>
      </c>
      <c r="D131" s="49" t="s">
        <v>328</v>
      </c>
    </row>
    <row r="132" spans="3:4" x14ac:dyDescent="0.4">
      <c r="C132" s="48" t="s">
        <v>179</v>
      </c>
      <c r="D132" s="49" t="s">
        <v>329</v>
      </c>
    </row>
    <row r="133" spans="3:4" x14ac:dyDescent="0.4">
      <c r="C133" s="48" t="s">
        <v>180</v>
      </c>
      <c r="D133" s="49" t="s">
        <v>330</v>
      </c>
    </row>
    <row r="134" spans="3:4" x14ac:dyDescent="0.4">
      <c r="C134" s="48" t="s">
        <v>181</v>
      </c>
      <c r="D134" s="49" t="s">
        <v>331</v>
      </c>
    </row>
    <row r="135" spans="3:4" x14ac:dyDescent="0.4">
      <c r="C135" s="48" t="s">
        <v>182</v>
      </c>
      <c r="D135" s="49" t="s">
        <v>332</v>
      </c>
    </row>
    <row r="136" spans="3:4" x14ac:dyDescent="0.4">
      <c r="C136" s="48" t="s">
        <v>183</v>
      </c>
      <c r="D136" s="49" t="s">
        <v>333</v>
      </c>
    </row>
    <row r="137" spans="3:4" x14ac:dyDescent="0.4">
      <c r="C137" s="48" t="s">
        <v>184</v>
      </c>
      <c r="D137" s="49" t="s">
        <v>334</v>
      </c>
    </row>
    <row r="138" spans="3:4" x14ac:dyDescent="0.4">
      <c r="C138" s="48" t="s">
        <v>185</v>
      </c>
      <c r="D138" s="49" t="s">
        <v>335</v>
      </c>
    </row>
    <row r="139" spans="3:4" x14ac:dyDescent="0.4">
      <c r="C139" s="48" t="s">
        <v>186</v>
      </c>
      <c r="D139" s="49" t="s">
        <v>336</v>
      </c>
    </row>
    <row r="140" spans="3:4" x14ac:dyDescent="0.4">
      <c r="C140" s="48" t="s">
        <v>187</v>
      </c>
      <c r="D140" s="49" t="s">
        <v>337</v>
      </c>
    </row>
    <row r="141" spans="3:4" x14ac:dyDescent="0.4">
      <c r="C141" s="48" t="s">
        <v>188</v>
      </c>
      <c r="D141" s="49" t="s">
        <v>338</v>
      </c>
    </row>
    <row r="142" spans="3:4" x14ac:dyDescent="0.4">
      <c r="C142" s="48" t="s">
        <v>189</v>
      </c>
      <c r="D142" s="49" t="s">
        <v>339</v>
      </c>
    </row>
    <row r="143" spans="3:4" x14ac:dyDescent="0.4">
      <c r="C143" s="48" t="s">
        <v>190</v>
      </c>
      <c r="D143" s="49" t="s">
        <v>340</v>
      </c>
    </row>
    <row r="144" spans="3:4" x14ac:dyDescent="0.4">
      <c r="C144" s="48" t="s">
        <v>191</v>
      </c>
      <c r="D144" s="49" t="s">
        <v>341</v>
      </c>
    </row>
    <row r="145" spans="3:4" x14ac:dyDescent="0.4">
      <c r="C145" s="48" t="s">
        <v>192</v>
      </c>
      <c r="D145" s="49" t="s">
        <v>342</v>
      </c>
    </row>
    <row r="146" spans="3:4" x14ac:dyDescent="0.4">
      <c r="C146" s="48" t="s">
        <v>193</v>
      </c>
      <c r="D146" s="49" t="s">
        <v>343</v>
      </c>
    </row>
    <row r="147" spans="3:4" x14ac:dyDescent="0.4">
      <c r="C147" s="48" t="s">
        <v>194</v>
      </c>
      <c r="D147" s="49" t="s">
        <v>344</v>
      </c>
    </row>
    <row r="148" spans="3:4" x14ac:dyDescent="0.4">
      <c r="C148" s="48" t="s">
        <v>195</v>
      </c>
      <c r="D148" s="49" t="s">
        <v>345</v>
      </c>
    </row>
    <row r="149" spans="3:4" x14ac:dyDescent="0.4">
      <c r="C149" s="48" t="s">
        <v>196</v>
      </c>
      <c r="D149" s="49" t="s">
        <v>346</v>
      </c>
    </row>
    <row r="150" spans="3:4" x14ac:dyDescent="0.4">
      <c r="C150" s="48" t="s">
        <v>197</v>
      </c>
      <c r="D150" s="49" t="s">
        <v>347</v>
      </c>
    </row>
    <row r="151" spans="3:4" x14ac:dyDescent="0.4">
      <c r="C151" s="48" t="s">
        <v>198</v>
      </c>
      <c r="D151" s="49" t="s">
        <v>348</v>
      </c>
    </row>
    <row r="152" spans="3:4" x14ac:dyDescent="0.4">
      <c r="C152" s="48" t="s">
        <v>199</v>
      </c>
      <c r="D152" s="49" t="s">
        <v>349</v>
      </c>
    </row>
    <row r="153" spans="3:4" x14ac:dyDescent="0.4">
      <c r="C153" s="48" t="s">
        <v>200</v>
      </c>
      <c r="D153" s="49" t="s">
        <v>350</v>
      </c>
    </row>
    <row r="154" spans="3:4" x14ac:dyDescent="0.4">
      <c r="C154" s="48"/>
      <c r="D154" s="49"/>
    </row>
    <row r="155" spans="3:4" x14ac:dyDescent="0.4">
      <c r="C155" s="48"/>
      <c r="D155" s="49"/>
    </row>
    <row r="156" spans="3:4" x14ac:dyDescent="0.4">
      <c r="C156" s="48"/>
      <c r="D156" s="49"/>
    </row>
    <row r="157" spans="3:4" x14ac:dyDescent="0.4">
      <c r="C157" s="48"/>
      <c r="D157" s="49"/>
    </row>
    <row r="158" spans="3:4" x14ac:dyDescent="0.4">
      <c r="C158" s="48"/>
      <c r="D158" s="49"/>
    </row>
    <row r="159" spans="3:4" x14ac:dyDescent="0.4">
      <c r="C159" s="48"/>
      <c r="D159" s="49"/>
    </row>
    <row r="160" spans="3:4" x14ac:dyDescent="0.4">
      <c r="C160" s="48"/>
      <c r="D160" s="49"/>
    </row>
    <row r="161" spans="3:4" x14ac:dyDescent="0.4">
      <c r="C161" s="48"/>
      <c r="D161" s="49"/>
    </row>
    <row r="162" spans="3:4" x14ac:dyDescent="0.4">
      <c r="C162" s="48"/>
      <c r="D162" s="49"/>
    </row>
    <row r="163" spans="3:4" x14ac:dyDescent="0.4">
      <c r="C163" s="48"/>
      <c r="D163" s="49"/>
    </row>
    <row r="164" spans="3:4" x14ac:dyDescent="0.4">
      <c r="C164" s="48"/>
      <c r="D164" s="49"/>
    </row>
    <row r="165" spans="3:4" x14ac:dyDescent="0.4">
      <c r="C165" s="48"/>
      <c r="D165" s="49"/>
    </row>
    <row r="166" spans="3:4" x14ac:dyDescent="0.4">
      <c r="C166" s="48"/>
      <c r="D166" s="49"/>
    </row>
    <row r="167" spans="3:4" x14ac:dyDescent="0.4">
      <c r="C167" s="48"/>
      <c r="D167" s="49"/>
    </row>
    <row r="168" spans="3:4" x14ac:dyDescent="0.4">
      <c r="C168" s="48"/>
      <c r="D168" s="49"/>
    </row>
    <row r="169" spans="3:4" x14ac:dyDescent="0.4">
      <c r="C169" s="48"/>
      <c r="D169" s="49"/>
    </row>
    <row r="170" spans="3:4" x14ac:dyDescent="0.4">
      <c r="C170" s="48"/>
      <c r="D170" s="49"/>
    </row>
    <row r="171" spans="3:4" x14ac:dyDescent="0.4">
      <c r="C171" s="48"/>
      <c r="D171" s="49"/>
    </row>
    <row r="172" spans="3:4" x14ac:dyDescent="0.4">
      <c r="C172" s="48"/>
      <c r="D172" s="49"/>
    </row>
    <row r="173" spans="3:4" x14ac:dyDescent="0.4">
      <c r="C173" s="48"/>
      <c r="D173" s="49"/>
    </row>
    <row r="174" spans="3:4" x14ac:dyDescent="0.4">
      <c r="C174" s="48"/>
      <c r="D174" s="49"/>
    </row>
    <row r="175" spans="3:4" x14ac:dyDescent="0.4">
      <c r="C175" s="48"/>
      <c r="D175" s="49"/>
    </row>
    <row r="176" spans="3:4" x14ac:dyDescent="0.4">
      <c r="C176" s="48"/>
      <c r="D176" s="49"/>
    </row>
    <row r="177" spans="3:4" x14ac:dyDescent="0.4">
      <c r="C177" s="48"/>
      <c r="D177" s="49"/>
    </row>
    <row r="178" spans="3:4" x14ac:dyDescent="0.4">
      <c r="C178" s="48"/>
      <c r="D178" s="49"/>
    </row>
    <row r="179" spans="3:4" x14ac:dyDescent="0.4">
      <c r="C179" s="48"/>
      <c r="D179" s="49"/>
    </row>
    <row r="180" spans="3:4" x14ac:dyDescent="0.4">
      <c r="C180" s="48"/>
      <c r="D180" s="49"/>
    </row>
    <row r="181" spans="3:4" x14ac:dyDescent="0.4">
      <c r="C181" s="48"/>
      <c r="D181" s="49"/>
    </row>
    <row r="182" spans="3:4" x14ac:dyDescent="0.4">
      <c r="C182" s="48"/>
      <c r="D182" s="49"/>
    </row>
    <row r="183" spans="3:4" x14ac:dyDescent="0.4">
      <c r="C183" s="48"/>
      <c r="D183" s="49"/>
    </row>
    <row r="184" spans="3:4" x14ac:dyDescent="0.4">
      <c r="C184" s="48"/>
      <c r="D184" s="49"/>
    </row>
    <row r="185" spans="3:4" x14ac:dyDescent="0.4">
      <c r="C185" s="48"/>
      <c r="D185" s="49"/>
    </row>
    <row r="186" spans="3:4" x14ac:dyDescent="0.4">
      <c r="C186" s="48"/>
      <c r="D186" s="49"/>
    </row>
    <row r="187" spans="3:4" x14ac:dyDescent="0.4">
      <c r="C187" s="48"/>
      <c r="D187" s="49"/>
    </row>
    <row r="188" spans="3:4" x14ac:dyDescent="0.4">
      <c r="C188" s="48"/>
      <c r="D188" s="49"/>
    </row>
    <row r="189" spans="3:4" x14ac:dyDescent="0.4">
      <c r="C189" s="48"/>
      <c r="D189" s="49"/>
    </row>
    <row r="190" spans="3:4" x14ac:dyDescent="0.4">
      <c r="C190" s="48"/>
      <c r="D190" s="49"/>
    </row>
    <row r="191" spans="3:4" x14ac:dyDescent="0.4">
      <c r="C191" s="48"/>
      <c r="D191" s="49"/>
    </row>
    <row r="192" spans="3:4" x14ac:dyDescent="0.4">
      <c r="C192" s="48"/>
      <c r="D192" s="49"/>
    </row>
    <row r="193" spans="3:4" x14ac:dyDescent="0.4">
      <c r="C193" s="48"/>
      <c r="D193" s="49"/>
    </row>
    <row r="194" spans="3:4" x14ac:dyDescent="0.4">
      <c r="C194" s="48"/>
      <c r="D194" s="49"/>
    </row>
    <row r="195" spans="3:4" x14ac:dyDescent="0.4">
      <c r="C195" s="48"/>
      <c r="D195" s="49"/>
    </row>
    <row r="196" spans="3:4" x14ac:dyDescent="0.4">
      <c r="C196" s="48"/>
      <c r="D196" s="49"/>
    </row>
    <row r="197" spans="3:4" x14ac:dyDescent="0.4">
      <c r="C197" s="48"/>
      <c r="D197" s="49"/>
    </row>
    <row r="198" spans="3:4" x14ac:dyDescent="0.4">
      <c r="C198" s="48"/>
      <c r="D198" s="49"/>
    </row>
    <row r="199" spans="3:4" x14ac:dyDescent="0.4">
      <c r="C199" s="48"/>
      <c r="D199" s="49"/>
    </row>
    <row r="200" spans="3:4" x14ac:dyDescent="0.4">
      <c r="C200" s="48"/>
      <c r="D200" s="49"/>
    </row>
    <row r="201" spans="3:4" x14ac:dyDescent="0.4">
      <c r="C201" s="48"/>
      <c r="D201" s="49"/>
    </row>
    <row r="202" spans="3:4" x14ac:dyDescent="0.4">
      <c r="C202" s="48"/>
      <c r="D202" s="49"/>
    </row>
    <row r="203" spans="3:4" x14ac:dyDescent="0.4">
      <c r="C203" s="48"/>
      <c r="D203" s="49"/>
    </row>
    <row r="204" spans="3:4" x14ac:dyDescent="0.4">
      <c r="C204" s="48"/>
      <c r="D204" s="49"/>
    </row>
    <row r="205" spans="3:4" x14ac:dyDescent="0.4">
      <c r="C205" s="48"/>
      <c r="D205" s="49"/>
    </row>
    <row r="206" spans="3:4" x14ac:dyDescent="0.4">
      <c r="C206" s="48"/>
      <c r="D206" s="49"/>
    </row>
    <row r="207" spans="3:4" x14ac:dyDescent="0.4">
      <c r="C207" s="48"/>
      <c r="D207" s="49"/>
    </row>
    <row r="208" spans="3:4" x14ac:dyDescent="0.4">
      <c r="C208" s="48"/>
      <c r="D208" s="49"/>
    </row>
  </sheetData>
  <phoneticPr fontId="1"/>
  <pageMargins left="0.7" right="0.7" top="0.75" bottom="0.75" header="0.3" footer="0.3"/>
  <pageSetup paperSize="9" orientation="portrait" r:id="rId1"/>
  <ignoredErrors>
    <ignoredError sqref="D4:D153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/>
  <dimension ref="A1:AN14"/>
  <sheetViews>
    <sheetView workbookViewId="0">
      <selection activeCell="E5" sqref="E5"/>
    </sheetView>
  </sheetViews>
  <sheetFormatPr defaultRowHeight="18.75" x14ac:dyDescent="0.4"/>
  <cols>
    <col min="9" max="9" width="10.875" bestFit="1" customWidth="1"/>
    <col min="10" max="18" width="2.5" bestFit="1" customWidth="1"/>
    <col min="19" max="40" width="3.5" bestFit="1" customWidth="1"/>
  </cols>
  <sheetData>
    <row r="1" spans="1:40" ht="19.5" thickBot="1" x14ac:dyDescent="0.45"/>
    <row r="2" spans="1:40" ht="19.5" thickBot="1" x14ac:dyDescent="0.45">
      <c r="B2" t="s">
        <v>47</v>
      </c>
      <c r="C2" s="1" t="s">
        <v>0</v>
      </c>
      <c r="D2" s="46">
        <v>2024</v>
      </c>
      <c r="E2" t="s">
        <v>48</v>
      </c>
    </row>
    <row r="3" spans="1:40" x14ac:dyDescent="0.4">
      <c r="B3" s="1" t="s">
        <v>38</v>
      </c>
      <c r="C3" s="1" t="s">
        <v>39</v>
      </c>
      <c r="D3">
        <f>$D$2+1</f>
        <v>2025</v>
      </c>
      <c r="E3" t="s">
        <v>40</v>
      </c>
      <c r="I3" s="4" t="s">
        <v>26</v>
      </c>
      <c r="J3" s="4">
        <v>1</v>
      </c>
      <c r="K3" s="4">
        <v>2</v>
      </c>
      <c r="L3" s="4">
        <v>3</v>
      </c>
      <c r="M3" s="4">
        <v>4</v>
      </c>
      <c r="N3" s="4">
        <v>5</v>
      </c>
      <c r="O3" s="4">
        <v>6</v>
      </c>
      <c r="P3" s="4">
        <v>7</v>
      </c>
      <c r="Q3" s="4">
        <v>8</v>
      </c>
      <c r="R3" s="4">
        <v>9</v>
      </c>
      <c r="S3" s="4">
        <v>10</v>
      </c>
      <c r="T3" s="4">
        <v>11</v>
      </c>
      <c r="U3" s="4">
        <v>12</v>
      </c>
      <c r="V3" s="4">
        <v>13</v>
      </c>
      <c r="W3" s="4">
        <v>14</v>
      </c>
      <c r="X3" s="4">
        <v>15</v>
      </c>
      <c r="Y3" s="4">
        <v>16</v>
      </c>
      <c r="Z3" s="4">
        <v>17</v>
      </c>
      <c r="AA3" s="4">
        <v>18</v>
      </c>
      <c r="AB3" s="4">
        <v>19</v>
      </c>
      <c r="AC3" s="4">
        <v>20</v>
      </c>
      <c r="AD3" s="4">
        <v>21</v>
      </c>
      <c r="AE3" s="4">
        <v>22</v>
      </c>
      <c r="AF3" s="4">
        <v>23</v>
      </c>
      <c r="AG3" s="4">
        <v>24</v>
      </c>
      <c r="AH3" s="4">
        <v>25</v>
      </c>
      <c r="AI3" s="4">
        <v>26</v>
      </c>
      <c r="AJ3" s="4">
        <v>27</v>
      </c>
      <c r="AK3" s="4">
        <v>28</v>
      </c>
      <c r="AL3" s="4">
        <v>29</v>
      </c>
      <c r="AM3" s="4">
        <v>30</v>
      </c>
      <c r="AN3" s="4"/>
    </row>
    <row r="4" spans="1:40" x14ac:dyDescent="0.4">
      <c r="C4" t="s">
        <v>24</v>
      </c>
      <c r="D4" s="2" t="b">
        <f>IF(MOD($D$3,4)=0,TRUE,FALSE)</f>
        <v>0</v>
      </c>
      <c r="I4" s="4" t="s">
        <v>27</v>
      </c>
      <c r="J4" s="4">
        <v>1</v>
      </c>
      <c r="K4" s="4">
        <v>2</v>
      </c>
      <c r="L4" s="4">
        <v>3</v>
      </c>
      <c r="M4" s="4">
        <v>4</v>
      </c>
      <c r="N4" s="4">
        <v>5</v>
      </c>
      <c r="O4" s="4">
        <v>6</v>
      </c>
      <c r="P4" s="4">
        <v>7</v>
      </c>
      <c r="Q4" s="4">
        <v>8</v>
      </c>
      <c r="R4" s="4">
        <v>9</v>
      </c>
      <c r="S4" s="4">
        <v>10</v>
      </c>
      <c r="T4" s="4">
        <v>11</v>
      </c>
      <c r="U4" s="4">
        <v>12</v>
      </c>
      <c r="V4" s="4">
        <v>13</v>
      </c>
      <c r="W4" s="4">
        <v>14</v>
      </c>
      <c r="X4" s="4">
        <v>15</v>
      </c>
      <c r="Y4" s="4">
        <v>16</v>
      </c>
      <c r="Z4" s="4">
        <v>17</v>
      </c>
      <c r="AA4" s="4">
        <v>18</v>
      </c>
      <c r="AB4" s="4">
        <v>19</v>
      </c>
      <c r="AC4" s="4">
        <v>20</v>
      </c>
      <c r="AD4" s="4">
        <v>21</v>
      </c>
      <c r="AE4" s="4">
        <v>22</v>
      </c>
      <c r="AF4" s="4">
        <v>23</v>
      </c>
      <c r="AG4" s="4">
        <v>24</v>
      </c>
      <c r="AH4" s="4">
        <v>25</v>
      </c>
      <c r="AI4" s="4">
        <v>26</v>
      </c>
      <c r="AJ4" s="4">
        <v>27</v>
      </c>
      <c r="AK4" s="4">
        <v>28</v>
      </c>
      <c r="AL4" s="4">
        <v>29</v>
      </c>
      <c r="AM4" s="4">
        <v>30</v>
      </c>
      <c r="AN4" s="4">
        <v>31</v>
      </c>
    </row>
    <row r="5" spans="1:40" x14ac:dyDescent="0.4">
      <c r="I5" s="4" t="s">
        <v>28</v>
      </c>
      <c r="J5" s="4">
        <v>1</v>
      </c>
      <c r="K5" s="4">
        <v>2</v>
      </c>
      <c r="L5" s="4">
        <v>3</v>
      </c>
      <c r="M5" s="4">
        <v>4</v>
      </c>
      <c r="N5" s="4">
        <v>5</v>
      </c>
      <c r="O5" s="4">
        <v>6</v>
      </c>
      <c r="P5" s="4">
        <v>7</v>
      </c>
      <c r="Q5" s="4">
        <v>8</v>
      </c>
      <c r="R5" s="4">
        <v>9</v>
      </c>
      <c r="S5" s="4">
        <v>10</v>
      </c>
      <c r="T5" s="4">
        <v>11</v>
      </c>
      <c r="U5" s="4">
        <v>12</v>
      </c>
      <c r="V5" s="4">
        <v>13</v>
      </c>
      <c r="W5" s="4">
        <v>14</v>
      </c>
      <c r="X5" s="4">
        <v>15</v>
      </c>
      <c r="Y5" s="4">
        <v>16</v>
      </c>
      <c r="Z5" s="4">
        <v>17</v>
      </c>
      <c r="AA5" s="4">
        <v>18</v>
      </c>
      <c r="AB5" s="4">
        <v>19</v>
      </c>
      <c r="AC5" s="4">
        <v>20</v>
      </c>
      <c r="AD5" s="4">
        <v>21</v>
      </c>
      <c r="AE5" s="4">
        <v>22</v>
      </c>
      <c r="AF5" s="4">
        <v>23</v>
      </c>
      <c r="AG5" s="4">
        <v>24</v>
      </c>
      <c r="AH5" s="4">
        <v>25</v>
      </c>
      <c r="AI5" s="4">
        <v>26</v>
      </c>
      <c r="AJ5" s="4">
        <v>27</v>
      </c>
      <c r="AK5" s="4">
        <v>28</v>
      </c>
      <c r="AL5" s="4">
        <v>29</v>
      </c>
      <c r="AM5" s="4">
        <v>30</v>
      </c>
      <c r="AN5" s="4"/>
    </row>
    <row r="6" spans="1:40" ht="19.5" thickBot="1" x14ac:dyDescent="0.45">
      <c r="I6" s="4" t="s">
        <v>29</v>
      </c>
      <c r="J6" s="4">
        <v>1</v>
      </c>
      <c r="K6" s="4">
        <v>2</v>
      </c>
      <c r="L6" s="4">
        <v>3</v>
      </c>
      <c r="M6" s="4">
        <v>4</v>
      </c>
      <c r="N6" s="4">
        <v>5</v>
      </c>
      <c r="O6" s="4">
        <v>6</v>
      </c>
      <c r="P6" s="4">
        <v>7</v>
      </c>
      <c r="Q6" s="4">
        <v>8</v>
      </c>
      <c r="R6" s="4">
        <v>9</v>
      </c>
      <c r="S6" s="4">
        <v>10</v>
      </c>
      <c r="T6" s="4">
        <v>11</v>
      </c>
      <c r="U6" s="4">
        <v>12</v>
      </c>
      <c r="V6" s="4">
        <v>13</v>
      </c>
      <c r="W6" s="4">
        <v>14</v>
      </c>
      <c r="X6" s="4">
        <v>15</v>
      </c>
      <c r="Y6" s="4">
        <v>16</v>
      </c>
      <c r="Z6" s="4">
        <v>17</v>
      </c>
      <c r="AA6" s="4">
        <v>18</v>
      </c>
      <c r="AB6" s="4">
        <v>19</v>
      </c>
      <c r="AC6" s="4">
        <v>20</v>
      </c>
      <c r="AD6" s="4">
        <v>21</v>
      </c>
      <c r="AE6" s="4">
        <v>22</v>
      </c>
      <c r="AF6" s="4">
        <v>23</v>
      </c>
      <c r="AG6" s="4">
        <v>24</v>
      </c>
      <c r="AH6" s="4">
        <v>25</v>
      </c>
      <c r="AI6" s="4">
        <v>26</v>
      </c>
      <c r="AJ6" s="4">
        <v>27</v>
      </c>
      <c r="AK6" s="4">
        <v>28</v>
      </c>
      <c r="AL6" s="4">
        <v>29</v>
      </c>
      <c r="AM6" s="4">
        <v>30</v>
      </c>
      <c r="AN6" s="4">
        <v>31</v>
      </c>
    </row>
    <row r="7" spans="1:40" ht="19.5" thickBot="1" x14ac:dyDescent="0.45">
      <c r="A7" t="s">
        <v>44</v>
      </c>
      <c r="B7" t="s">
        <v>43</v>
      </c>
      <c r="C7" t="s">
        <v>45</v>
      </c>
      <c r="D7" s="47" t="s">
        <v>50</v>
      </c>
      <c r="I7" s="4" t="s">
        <v>30</v>
      </c>
      <c r="J7" s="4">
        <v>1</v>
      </c>
      <c r="K7" s="4">
        <v>2</v>
      </c>
      <c r="L7" s="4">
        <v>3</v>
      </c>
      <c r="M7" s="4">
        <v>4</v>
      </c>
      <c r="N7" s="4">
        <v>5</v>
      </c>
      <c r="O7" s="4">
        <v>6</v>
      </c>
      <c r="P7" s="4">
        <v>7</v>
      </c>
      <c r="Q7" s="4">
        <v>8</v>
      </c>
      <c r="R7" s="4">
        <v>9</v>
      </c>
      <c r="S7" s="4">
        <v>10</v>
      </c>
      <c r="T7" s="4">
        <v>11</v>
      </c>
      <c r="U7" s="4">
        <v>12</v>
      </c>
      <c r="V7" s="4">
        <v>13</v>
      </c>
      <c r="W7" s="4">
        <v>14</v>
      </c>
      <c r="X7" s="4">
        <v>15</v>
      </c>
      <c r="Y7" s="4">
        <v>16</v>
      </c>
      <c r="Z7" s="4">
        <v>17</v>
      </c>
      <c r="AA7" s="4">
        <v>18</v>
      </c>
      <c r="AB7" s="4">
        <v>19</v>
      </c>
      <c r="AC7" s="4">
        <v>20</v>
      </c>
      <c r="AD7" s="4">
        <v>21</v>
      </c>
      <c r="AE7" s="4">
        <v>22</v>
      </c>
      <c r="AF7" s="4">
        <v>23</v>
      </c>
      <c r="AG7" s="4">
        <v>24</v>
      </c>
      <c r="AH7" s="4">
        <v>25</v>
      </c>
      <c r="AI7" s="4">
        <v>26</v>
      </c>
      <c r="AJ7" s="4">
        <v>27</v>
      </c>
      <c r="AK7" s="4">
        <v>28</v>
      </c>
      <c r="AL7" s="4">
        <v>29</v>
      </c>
      <c r="AM7" s="4">
        <v>30</v>
      </c>
      <c r="AN7" s="4">
        <v>31</v>
      </c>
    </row>
    <row r="8" spans="1:40" x14ac:dyDescent="0.4">
      <c r="D8" t="s">
        <v>46</v>
      </c>
      <c r="I8" s="4" t="s">
        <v>31</v>
      </c>
      <c r="J8" s="4">
        <v>1</v>
      </c>
      <c r="K8" s="4">
        <v>2</v>
      </c>
      <c r="L8" s="4">
        <v>3</v>
      </c>
      <c r="M8" s="4">
        <v>4</v>
      </c>
      <c r="N8" s="4">
        <v>5</v>
      </c>
      <c r="O8" s="4">
        <v>6</v>
      </c>
      <c r="P8" s="4">
        <v>7</v>
      </c>
      <c r="Q8" s="4">
        <v>8</v>
      </c>
      <c r="R8" s="4">
        <v>9</v>
      </c>
      <c r="S8" s="4">
        <v>10</v>
      </c>
      <c r="T8" s="4">
        <v>11</v>
      </c>
      <c r="U8" s="4">
        <v>12</v>
      </c>
      <c r="V8" s="4">
        <v>13</v>
      </c>
      <c r="W8" s="4">
        <v>14</v>
      </c>
      <c r="X8" s="4">
        <v>15</v>
      </c>
      <c r="Y8" s="4">
        <v>16</v>
      </c>
      <c r="Z8" s="4">
        <v>17</v>
      </c>
      <c r="AA8" s="4">
        <v>18</v>
      </c>
      <c r="AB8" s="4">
        <v>19</v>
      </c>
      <c r="AC8" s="4">
        <v>20</v>
      </c>
      <c r="AD8" s="4">
        <v>21</v>
      </c>
      <c r="AE8" s="4">
        <v>22</v>
      </c>
      <c r="AF8" s="4">
        <v>23</v>
      </c>
      <c r="AG8" s="4">
        <v>24</v>
      </c>
      <c r="AH8" s="4">
        <v>25</v>
      </c>
      <c r="AI8" s="4">
        <v>26</v>
      </c>
      <c r="AJ8" s="4">
        <v>27</v>
      </c>
      <c r="AK8" s="4">
        <v>28</v>
      </c>
      <c r="AL8" s="4">
        <v>29</v>
      </c>
      <c r="AM8" s="4">
        <v>30</v>
      </c>
      <c r="AN8" s="4"/>
    </row>
    <row r="9" spans="1:40" x14ac:dyDescent="0.4">
      <c r="D9" t="s">
        <v>49</v>
      </c>
      <c r="I9" s="4" t="s">
        <v>32</v>
      </c>
      <c r="J9" s="4">
        <v>1</v>
      </c>
      <c r="K9" s="4">
        <v>2</v>
      </c>
      <c r="L9" s="4">
        <v>3</v>
      </c>
      <c r="M9" s="4">
        <v>4</v>
      </c>
      <c r="N9" s="4">
        <v>5</v>
      </c>
      <c r="O9" s="4">
        <v>6</v>
      </c>
      <c r="P9" s="4">
        <v>7</v>
      </c>
      <c r="Q9" s="4">
        <v>8</v>
      </c>
      <c r="R9" s="4">
        <v>9</v>
      </c>
      <c r="S9" s="4">
        <v>10</v>
      </c>
      <c r="T9" s="4">
        <v>11</v>
      </c>
      <c r="U9" s="4">
        <v>12</v>
      </c>
      <c r="V9" s="4">
        <v>13</v>
      </c>
      <c r="W9" s="4">
        <v>14</v>
      </c>
      <c r="X9" s="4">
        <v>15</v>
      </c>
      <c r="Y9" s="4">
        <v>16</v>
      </c>
      <c r="Z9" s="4">
        <v>17</v>
      </c>
      <c r="AA9" s="4">
        <v>18</v>
      </c>
      <c r="AB9" s="4">
        <v>19</v>
      </c>
      <c r="AC9" s="4">
        <v>20</v>
      </c>
      <c r="AD9" s="4">
        <v>21</v>
      </c>
      <c r="AE9" s="4">
        <v>22</v>
      </c>
      <c r="AF9" s="4">
        <v>23</v>
      </c>
      <c r="AG9" s="4">
        <v>24</v>
      </c>
      <c r="AH9" s="4">
        <v>25</v>
      </c>
      <c r="AI9" s="4">
        <v>26</v>
      </c>
      <c r="AJ9" s="4">
        <v>27</v>
      </c>
      <c r="AK9" s="4">
        <v>28</v>
      </c>
      <c r="AL9" s="4">
        <v>29</v>
      </c>
      <c r="AM9" s="4">
        <v>30</v>
      </c>
      <c r="AN9" s="4">
        <v>31</v>
      </c>
    </row>
    <row r="10" spans="1:40" x14ac:dyDescent="0.4">
      <c r="I10" s="4" t="s">
        <v>33</v>
      </c>
      <c r="J10" s="4">
        <v>1</v>
      </c>
      <c r="K10" s="4">
        <v>2</v>
      </c>
      <c r="L10" s="4">
        <v>3</v>
      </c>
      <c r="M10" s="4">
        <v>4</v>
      </c>
      <c r="N10" s="4">
        <v>5</v>
      </c>
      <c r="O10" s="4">
        <v>6</v>
      </c>
      <c r="P10" s="4">
        <v>7</v>
      </c>
      <c r="Q10" s="4">
        <v>8</v>
      </c>
      <c r="R10" s="4">
        <v>9</v>
      </c>
      <c r="S10" s="4">
        <v>10</v>
      </c>
      <c r="T10" s="4">
        <v>11</v>
      </c>
      <c r="U10" s="4">
        <v>12</v>
      </c>
      <c r="V10" s="4">
        <v>13</v>
      </c>
      <c r="W10" s="4">
        <v>14</v>
      </c>
      <c r="X10" s="4">
        <v>15</v>
      </c>
      <c r="Y10" s="4">
        <v>16</v>
      </c>
      <c r="Z10" s="4">
        <v>17</v>
      </c>
      <c r="AA10" s="4">
        <v>18</v>
      </c>
      <c r="AB10" s="4">
        <v>19</v>
      </c>
      <c r="AC10" s="4">
        <v>20</v>
      </c>
      <c r="AD10" s="4">
        <v>21</v>
      </c>
      <c r="AE10" s="4">
        <v>22</v>
      </c>
      <c r="AF10" s="4">
        <v>23</v>
      </c>
      <c r="AG10" s="4">
        <v>24</v>
      </c>
      <c r="AH10" s="4">
        <v>25</v>
      </c>
      <c r="AI10" s="4">
        <v>26</v>
      </c>
      <c r="AJ10" s="4">
        <v>27</v>
      </c>
      <c r="AK10" s="4">
        <v>28</v>
      </c>
      <c r="AL10" s="4">
        <v>29</v>
      </c>
      <c r="AM10" s="4">
        <v>30</v>
      </c>
      <c r="AN10" s="4"/>
    </row>
    <row r="11" spans="1:40" x14ac:dyDescent="0.4">
      <c r="I11" s="4" t="s">
        <v>34</v>
      </c>
      <c r="J11" s="4">
        <v>1</v>
      </c>
      <c r="K11" s="4">
        <v>2</v>
      </c>
      <c r="L11" s="4">
        <v>3</v>
      </c>
      <c r="M11" s="4">
        <v>4</v>
      </c>
      <c r="N11" s="4">
        <v>5</v>
      </c>
      <c r="O11" s="4">
        <v>6</v>
      </c>
      <c r="P11" s="4">
        <v>7</v>
      </c>
      <c r="Q11" s="4">
        <v>8</v>
      </c>
      <c r="R11" s="4">
        <v>9</v>
      </c>
      <c r="S11" s="4">
        <v>10</v>
      </c>
      <c r="T11" s="4">
        <v>11</v>
      </c>
      <c r="U11" s="4">
        <v>12</v>
      </c>
      <c r="V11" s="4">
        <v>13</v>
      </c>
      <c r="W11" s="4">
        <v>14</v>
      </c>
      <c r="X11" s="4">
        <v>15</v>
      </c>
      <c r="Y11" s="4">
        <v>16</v>
      </c>
      <c r="Z11" s="4">
        <v>17</v>
      </c>
      <c r="AA11" s="4">
        <v>18</v>
      </c>
      <c r="AB11" s="4">
        <v>19</v>
      </c>
      <c r="AC11" s="4">
        <v>20</v>
      </c>
      <c r="AD11" s="4">
        <v>21</v>
      </c>
      <c r="AE11" s="4">
        <v>22</v>
      </c>
      <c r="AF11" s="4">
        <v>23</v>
      </c>
      <c r="AG11" s="4">
        <v>24</v>
      </c>
      <c r="AH11" s="4">
        <v>25</v>
      </c>
      <c r="AI11" s="4">
        <v>26</v>
      </c>
      <c r="AJ11" s="4">
        <v>27</v>
      </c>
      <c r="AK11" s="4">
        <v>28</v>
      </c>
      <c r="AL11" s="4">
        <v>29</v>
      </c>
      <c r="AM11" s="4">
        <v>30</v>
      </c>
      <c r="AN11" s="4">
        <v>31</v>
      </c>
    </row>
    <row r="12" spans="1:40" x14ac:dyDescent="0.4">
      <c r="I12" s="4" t="s">
        <v>25</v>
      </c>
      <c r="J12" s="4">
        <v>1</v>
      </c>
      <c r="K12" s="4">
        <v>2</v>
      </c>
      <c r="L12" s="4">
        <v>3</v>
      </c>
      <c r="M12" s="4">
        <v>4</v>
      </c>
      <c r="N12" s="4">
        <v>5</v>
      </c>
      <c r="O12" s="4">
        <v>6</v>
      </c>
      <c r="P12" s="4">
        <v>7</v>
      </c>
      <c r="Q12" s="4">
        <v>8</v>
      </c>
      <c r="R12" s="4">
        <v>9</v>
      </c>
      <c r="S12" s="4">
        <v>10</v>
      </c>
      <c r="T12" s="4">
        <v>11</v>
      </c>
      <c r="U12" s="4">
        <v>12</v>
      </c>
      <c r="V12" s="4">
        <v>13</v>
      </c>
      <c r="W12" s="4">
        <v>14</v>
      </c>
      <c r="X12" s="4">
        <v>15</v>
      </c>
      <c r="Y12" s="4">
        <v>16</v>
      </c>
      <c r="Z12" s="4">
        <v>17</v>
      </c>
      <c r="AA12" s="4">
        <v>18</v>
      </c>
      <c r="AB12" s="4">
        <v>19</v>
      </c>
      <c r="AC12" s="4">
        <v>20</v>
      </c>
      <c r="AD12" s="4">
        <v>21</v>
      </c>
      <c r="AE12" s="4">
        <v>22</v>
      </c>
      <c r="AF12" s="4">
        <v>23</v>
      </c>
      <c r="AG12" s="4">
        <v>24</v>
      </c>
      <c r="AH12" s="4">
        <v>25</v>
      </c>
      <c r="AI12" s="4">
        <v>26</v>
      </c>
      <c r="AJ12" s="4">
        <v>27</v>
      </c>
      <c r="AK12" s="4">
        <v>28</v>
      </c>
      <c r="AL12" s="4">
        <v>29</v>
      </c>
      <c r="AM12" s="4">
        <v>30</v>
      </c>
      <c r="AN12" s="4">
        <v>31</v>
      </c>
    </row>
    <row r="13" spans="1:40" x14ac:dyDescent="0.4">
      <c r="I13" s="4" t="s">
        <v>35</v>
      </c>
      <c r="J13" s="4">
        <v>1</v>
      </c>
      <c r="K13" s="4">
        <v>2</v>
      </c>
      <c r="L13" s="4">
        <v>3</v>
      </c>
      <c r="M13" s="4">
        <v>4</v>
      </c>
      <c r="N13" s="4">
        <v>5</v>
      </c>
      <c r="O13" s="4">
        <v>6</v>
      </c>
      <c r="P13" s="4">
        <v>7</v>
      </c>
      <c r="Q13" s="4">
        <v>8</v>
      </c>
      <c r="R13" s="4">
        <v>9</v>
      </c>
      <c r="S13" s="4">
        <v>10</v>
      </c>
      <c r="T13" s="4">
        <v>11</v>
      </c>
      <c r="U13" s="4">
        <v>12</v>
      </c>
      <c r="V13" s="4">
        <v>13</v>
      </c>
      <c r="W13" s="4">
        <v>14</v>
      </c>
      <c r="X13" s="4">
        <v>15</v>
      </c>
      <c r="Y13" s="4">
        <v>16</v>
      </c>
      <c r="Z13" s="4">
        <v>17</v>
      </c>
      <c r="AA13" s="4">
        <v>18</v>
      </c>
      <c r="AB13" s="4">
        <v>19</v>
      </c>
      <c r="AC13" s="4">
        <v>20</v>
      </c>
      <c r="AD13" s="4">
        <v>21</v>
      </c>
      <c r="AE13" s="4">
        <v>22</v>
      </c>
      <c r="AF13" s="4">
        <v>23</v>
      </c>
      <c r="AG13" s="4">
        <v>24</v>
      </c>
      <c r="AH13" s="4">
        <v>25</v>
      </c>
      <c r="AI13" s="4">
        <v>26</v>
      </c>
      <c r="AJ13" s="4">
        <v>27</v>
      </c>
      <c r="AK13" s="4">
        <v>28</v>
      </c>
      <c r="AL13" s="6" t="str">
        <f>IF(D4=TRUE,29,"")</f>
        <v/>
      </c>
      <c r="AM13" s="4"/>
      <c r="AN13" s="4"/>
    </row>
    <row r="14" spans="1:40" x14ac:dyDescent="0.4">
      <c r="I14" s="4" t="s">
        <v>36</v>
      </c>
      <c r="J14" s="4">
        <v>1</v>
      </c>
      <c r="K14" s="4">
        <v>2</v>
      </c>
      <c r="L14" s="4">
        <v>3</v>
      </c>
      <c r="M14" s="4">
        <v>4</v>
      </c>
      <c r="N14" s="4">
        <v>5</v>
      </c>
      <c r="O14" s="4">
        <v>6</v>
      </c>
      <c r="P14" s="4">
        <v>7</v>
      </c>
      <c r="Q14" s="4">
        <v>8</v>
      </c>
      <c r="R14" s="4">
        <v>9</v>
      </c>
      <c r="S14" s="4">
        <v>10</v>
      </c>
      <c r="T14" s="4">
        <v>11</v>
      </c>
      <c r="U14" s="4">
        <v>12</v>
      </c>
      <c r="V14" s="4">
        <v>13</v>
      </c>
      <c r="W14" s="4">
        <v>14</v>
      </c>
      <c r="X14" s="4">
        <v>15</v>
      </c>
      <c r="Y14" s="4">
        <v>16</v>
      </c>
      <c r="Z14" s="4">
        <v>17</v>
      </c>
      <c r="AA14" s="4">
        <v>18</v>
      </c>
      <c r="AB14" s="4">
        <v>19</v>
      </c>
      <c r="AC14" s="4">
        <v>20</v>
      </c>
      <c r="AD14" s="4">
        <v>21</v>
      </c>
      <c r="AE14" s="4">
        <v>22</v>
      </c>
      <c r="AF14" s="4">
        <v>23</v>
      </c>
      <c r="AG14" s="4">
        <v>24</v>
      </c>
      <c r="AH14" s="4">
        <v>25</v>
      </c>
      <c r="AI14" s="4">
        <v>26</v>
      </c>
      <c r="AJ14" s="4">
        <v>27</v>
      </c>
      <c r="AK14" s="4">
        <v>28</v>
      </c>
      <c r="AL14" s="4">
        <v>29</v>
      </c>
      <c r="AM14" s="4">
        <v>30</v>
      </c>
      <c r="AN14" s="4">
        <v>31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Form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koji oda</cp:lastModifiedBy>
  <dcterms:created xsi:type="dcterms:W3CDTF">2025-01-08T05:58:41Z</dcterms:created>
  <dcterms:modified xsi:type="dcterms:W3CDTF">2025-01-13T08:17:42Z</dcterms:modified>
</cp:coreProperties>
</file>